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940" yWindow="600" windowWidth="18460" windowHeight="16480" tabRatio="600" firstSheet="0" activeTab="4" autoFilterDateGrouping="1"/>
  </bookViews>
  <sheets>
    <sheet name="Info" sheetId="1" state="visible" r:id="rId1"/>
    <sheet name="Price" sheetId="2" state="visible" r:id="rId2"/>
    <sheet name="Volume" sheetId="3" state="visible" r:id="rId3"/>
    <sheet name="Summary" sheetId="4" state="visible" r:id="rId4"/>
    <sheet name="Admin" sheetId="5" state="visible" r:id="rId5"/>
    <sheet name="D&amp;B" sheetId="6" state="visible" r:id="rId6"/>
  </sheets>
  <definedNames>
    <definedName name="_xlnm._FilterDatabase" localSheetId="1" hidden="1">'Price'!$A$1:$AE$1</definedName>
    <definedName name="_xlnm._FilterDatabase" localSheetId="2" hidden="1">'Volume'!$A$1:$AD$1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_-* #,##0_-;\-* #,##0_-;_-* &quot;-&quot;_-;_-@_-"/>
    <numFmt numFmtId="166" formatCode="_-* #,##0.00_-;\-* #,##0.00_-;_-* &quot;-&quot;_-;_-@_-"/>
    <numFmt numFmtId="167" formatCode="_-* #,##0.0000_-;\-* #,##0.0000_-;_-* &quot;-&quot;_-;_-@_-"/>
    <numFmt numFmtId="168" formatCode="_-* #,##0.00000000_-;\-* #,##0.00000000_-;_-* &quot;-&quot;_-;_-@_-"/>
    <numFmt numFmtId="169" formatCode="_-* #,##0.00000_-;\-* #,##0.00000_-;_-* &quot;-&quot;_-;_-@_-"/>
    <numFmt numFmtId="170" formatCode="yyyy\-mm\-dd"/>
    <numFmt numFmtId="171" formatCode="_(* #,##0_);_(* \(#,##0\);_(* &quot;-&quot;??_);_(@_)"/>
  </numFmts>
  <fonts count="16"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color theme="4"/>
      <sz val="11"/>
      <scheme val="minor"/>
    </font>
    <font>
      <name val="맑은 고딕"/>
      <charset val="129"/>
      <family val="2"/>
      <b val="1"/>
      <color rgb="FFFF0000"/>
      <sz val="11"/>
      <scheme val="minor"/>
    </font>
    <font>
      <name val="맑은 고딕"/>
      <charset val="129"/>
      <family val="2"/>
      <b val="1"/>
      <sz val="11"/>
    </font>
    <font>
      <name val="맑은 고딕"/>
      <family val="2"/>
      <color rgb="FF0070C0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2"/>
      <color rgb="FFFF000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EF2F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">
    <xf numFmtId="0" fontId="4" fillId="0" borderId="0"/>
    <xf numFmtId="41" fontId="4" fillId="0" borderId="0" applyAlignment="1">
      <alignment vertical="center"/>
    </xf>
    <xf numFmtId="9" fontId="4" fillId="0" borderId="0" applyAlignment="1">
      <alignment vertical="center"/>
    </xf>
    <xf numFmtId="43" fontId="4" fillId="0" borderId="0" applyAlignment="1">
      <alignment vertical="center"/>
    </xf>
  </cellStyleXfs>
  <cellXfs count="6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41" fontId="4" fillId="0" borderId="0" applyAlignment="1" pivotButton="0" quotePrefix="0" xfId="1">
      <alignment vertical="center"/>
    </xf>
    <xf numFmtId="164" fontId="4" fillId="0" borderId="0" applyAlignment="1" pivotButton="0" quotePrefix="0" xfId="2">
      <alignment vertical="center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41" fontId="6" fillId="0" borderId="0" applyAlignment="1" pivotButton="0" quotePrefix="0" xfId="1">
      <alignment vertical="center"/>
    </xf>
    <xf numFmtId="41" fontId="0" fillId="0" borderId="0" applyAlignment="1" pivotButton="0" quotePrefix="0" xfId="1">
      <alignment vertical="center"/>
    </xf>
    <xf numFmtId="41" fontId="7" fillId="0" borderId="0" applyAlignment="1" pivotButton="0" quotePrefix="0" xfId="1">
      <alignment vertical="center"/>
    </xf>
    <xf numFmtId="166" fontId="0" fillId="0" borderId="0" applyAlignment="1" pivotButton="0" quotePrefix="0" xfId="1">
      <alignment vertical="center"/>
    </xf>
    <xf numFmtId="10" fontId="0" fillId="0" borderId="0" applyAlignment="1" pivotButton="0" quotePrefix="0" xfId="2">
      <alignment vertical="center"/>
    </xf>
    <xf numFmtId="41" fontId="7" fillId="5" borderId="0" applyAlignment="1" pivotButton="0" quotePrefix="0" xfId="1">
      <alignment vertical="center"/>
    </xf>
    <xf numFmtId="164" fontId="0" fillId="0" borderId="0" applyAlignment="1" pivotButton="0" quotePrefix="0" xfId="2">
      <alignment vertical="center"/>
    </xf>
    <xf numFmtId="41" fontId="8" fillId="0" borderId="0" applyAlignment="1" pivotButton="0" quotePrefix="0" xfId="1">
      <alignment vertical="center"/>
    </xf>
    <xf numFmtId="167" fontId="0" fillId="0" borderId="0" applyAlignment="1" pivotButton="0" quotePrefix="0" xfId="1">
      <alignment vertical="center"/>
    </xf>
    <xf numFmtId="166" fontId="8" fillId="0" borderId="0" applyAlignment="1" pivotButton="0" quotePrefix="0" xfId="1">
      <alignment vertical="center"/>
    </xf>
    <xf numFmtId="10" fontId="8" fillId="0" borderId="0" applyAlignment="1" pivotButton="0" quotePrefix="0" xfId="2">
      <alignment vertical="center"/>
    </xf>
    <xf numFmtId="164" fontId="8" fillId="0" borderId="0" applyAlignment="1" pivotButton="0" quotePrefix="0" xfId="2">
      <alignment vertical="center"/>
    </xf>
    <xf numFmtId="168" fontId="4" fillId="0" borderId="0" applyAlignment="1" pivotButton="0" quotePrefix="0" xfId="1">
      <alignment vertical="center"/>
    </xf>
    <xf numFmtId="168" fontId="9" fillId="0" borderId="0" applyAlignment="1" pivotButton="0" quotePrefix="0" xfId="1">
      <alignment vertical="center"/>
    </xf>
    <xf numFmtId="166" fontId="7" fillId="0" borderId="0" applyAlignment="1" pivotButton="0" quotePrefix="0" xfId="1">
      <alignment vertical="center"/>
    </xf>
    <xf numFmtId="166" fontId="4" fillId="0" borderId="0" applyAlignment="1" pivotButton="0" quotePrefix="0" xfId="1">
      <alignment vertical="center"/>
    </xf>
    <xf numFmtId="41" fontId="9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9" fontId="9" fillId="0" borderId="0" applyAlignment="1" pivotButton="0" quotePrefix="0" xfId="1">
      <alignment vertical="center"/>
    </xf>
    <xf numFmtId="164" fontId="9" fillId="0" borderId="0" applyAlignment="1" pivotButton="0" quotePrefix="0" xfId="2">
      <alignment vertical="center"/>
    </xf>
    <xf numFmtId="41" fontId="10" fillId="0" borderId="0" applyAlignment="1" pivotButton="0" quotePrefix="0" xfId="1">
      <alignment vertical="center"/>
    </xf>
    <xf numFmtId="41" fontId="11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9" fontId="4" fillId="0" borderId="0" applyAlignment="1" pivotButton="0" quotePrefix="0" xfId="1">
      <alignment vertical="center"/>
    </xf>
    <xf numFmtId="0" fontId="12" fillId="0" borderId="0" pivotButton="0" quotePrefix="0" xfId="0"/>
    <xf numFmtId="170" fontId="0" fillId="0" borderId="0" pivotButton="0" quotePrefix="0" xfId="0"/>
    <xf numFmtId="0" fontId="4" fillId="0" borderId="0" pivotButton="0" quotePrefix="0" xfId="0"/>
    <xf numFmtId="41" fontId="13" fillId="0" borderId="0" applyAlignment="1" pivotButton="0" quotePrefix="0" xfId="1">
      <alignment vertical="center"/>
    </xf>
    <xf numFmtId="165" fontId="0" fillId="0" borderId="0" pivotButton="0" quotePrefix="0" xfId="0"/>
    <xf numFmtId="22" fontId="5" fillId="0" borderId="0" pivotButton="0" quotePrefix="0" xfId="0"/>
    <xf numFmtId="9" fontId="14" fillId="0" borderId="0" applyAlignment="1" pivotButton="0" quotePrefix="0" xfId="1">
      <alignment vertical="center"/>
    </xf>
    <xf numFmtId="43" fontId="0" fillId="0" borderId="0" applyAlignment="1" pivotButton="0" quotePrefix="0" xfId="3">
      <alignment vertical="center"/>
    </xf>
    <xf numFmtId="164" fontId="15" fillId="0" borderId="0" applyAlignment="1" pivotButton="0" quotePrefix="0" xfId="2">
      <alignment vertical="center"/>
    </xf>
    <xf numFmtId="171" fontId="15" fillId="0" borderId="0" applyAlignment="1" pivotButton="0" quotePrefix="0" xfId="3">
      <alignment vertical="center"/>
    </xf>
    <xf numFmtId="171" fontId="0" fillId="0" borderId="0" applyAlignment="1" pivotButton="0" quotePrefix="0" xfId="3">
      <alignment vertical="center"/>
    </xf>
    <xf numFmtId="165" fontId="5" fillId="0" borderId="0" applyAlignment="1" pivotButton="0" quotePrefix="0" xfId="0">
      <alignment vertical="center"/>
    </xf>
    <xf numFmtId="170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1">
      <alignment vertical="center"/>
    </xf>
    <xf numFmtId="164" fontId="4" fillId="0" borderId="0" applyAlignment="1" pivotButton="0" quotePrefix="0" xfId="2">
      <alignment vertical="center"/>
    </xf>
    <xf numFmtId="164" fontId="0" fillId="0" borderId="0" applyAlignment="1" pivotButton="0" quotePrefix="0" xfId="2">
      <alignment vertical="center"/>
    </xf>
    <xf numFmtId="167" fontId="0" fillId="0" borderId="0" applyAlignment="1" pivotButton="0" quotePrefix="0" xfId="1">
      <alignment vertical="center"/>
    </xf>
    <xf numFmtId="166" fontId="8" fillId="0" borderId="0" applyAlignment="1" pivotButton="0" quotePrefix="0" xfId="1">
      <alignment vertical="center"/>
    </xf>
    <xf numFmtId="164" fontId="8" fillId="0" borderId="0" applyAlignment="1" pivotButton="0" quotePrefix="0" xfId="2">
      <alignment vertical="center"/>
    </xf>
    <xf numFmtId="168" fontId="4" fillId="0" borderId="0" applyAlignment="1" pivotButton="0" quotePrefix="0" xfId="1">
      <alignment vertical="center"/>
    </xf>
    <xf numFmtId="168" fontId="9" fillId="0" borderId="0" applyAlignment="1" pivotButton="0" quotePrefix="0" xfId="1">
      <alignment vertical="center"/>
    </xf>
    <xf numFmtId="166" fontId="7" fillId="0" borderId="0" applyAlignment="1" pivotButton="0" quotePrefix="0" xfId="1">
      <alignment vertical="center"/>
    </xf>
    <xf numFmtId="166" fontId="4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9" fontId="9" fillId="0" borderId="0" applyAlignment="1" pivotButton="0" quotePrefix="0" xfId="1">
      <alignment vertical="center"/>
    </xf>
    <xf numFmtId="164" fontId="9" fillId="0" borderId="0" applyAlignment="1" pivotButton="0" quotePrefix="0" xfId="2">
      <alignment vertical="center"/>
    </xf>
    <xf numFmtId="164" fontId="0" fillId="0" borderId="0" applyAlignment="1" pivotButton="0" quotePrefix="0" xfId="1">
      <alignment vertical="center"/>
    </xf>
    <xf numFmtId="164" fontId="15" fillId="0" borderId="0" applyAlignment="1" pivotButton="0" quotePrefix="0" xfId="2">
      <alignment vertical="center"/>
    </xf>
    <xf numFmtId="171" fontId="15" fillId="0" borderId="0" applyAlignment="1" pivotButton="0" quotePrefix="0" xfId="3">
      <alignment vertical="center"/>
    </xf>
    <xf numFmtId="171" fontId="0" fillId="0" borderId="0" applyAlignment="1" pivotButton="0" quotePrefix="0" xfId="3">
      <alignment vertical="center"/>
    </xf>
  </cellXfs>
  <cellStyles count="4">
    <cellStyle name="표준" xfId="0" builtinId="0"/>
    <cellStyle name="쉼표 [0]" xfId="1" builtinId="6"/>
    <cellStyle name="백분율" xfId="2" builtinId="5"/>
    <cellStyle name="쉼표" xfId="3" builtinId="3"/>
  </cellStyles>
  <dxfs count="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F1" sqref="F1:J1048576"/>
    </sheetView>
  </sheetViews>
  <sheetFormatPr baseColWidth="10" defaultColWidth="8.83203125" defaultRowHeight="17"/>
  <cols>
    <col width="42" customWidth="1" min="1" max="1"/>
    <col width="18" customWidth="1" min="2" max="2"/>
    <col width="14" customWidth="1" min="3" max="4"/>
    <col width="16" customWidth="1" min="5" max="5"/>
  </cols>
  <sheetData>
    <row r="1" ht="22" customHeight="1">
      <c r="A1" s="1" t="inlineStr">
        <is>
          <t>Name</t>
        </is>
      </c>
      <c r="B1" s="1" t="inlineStr">
        <is>
          <t>Symbol</t>
        </is>
      </c>
      <c r="C1" s="1" t="inlineStr">
        <is>
          <t>Exchange</t>
        </is>
      </c>
      <c r="D1" s="1" t="inlineStr">
        <is>
          <t>Category</t>
        </is>
      </c>
      <c r="E1" s="1" t="inlineStr">
        <is>
          <t>Price</t>
        </is>
      </c>
    </row>
    <row r="2" ht="18" customHeight="1">
      <c r="A2" s="3" t="inlineStr">
        <is>
          <t>KODEX KOFR금리액티브(합성)</t>
        </is>
      </c>
      <c r="B2" s="4" t="inlineStr">
        <is>
          <t>423160</t>
        </is>
      </c>
      <c r="C2" s="4" t="inlineStr">
        <is>
          <t>KRX</t>
        </is>
      </c>
      <c r="D2" s="4" t="inlineStr">
        <is>
          <t>Cash</t>
        </is>
      </c>
      <c r="E2" s="5">
        <f>INDEX(Price!B:B,MATCH(TRUE,INDEX(ISNUMBER(Price!B$2:B$1000),0),0)+1)</f>
        <v/>
      </c>
    </row>
    <row r="3" ht="18" customHeight="1">
      <c r="A3" s="6" t="inlineStr">
        <is>
          <t>KODEX CD금리액티브(합성)</t>
        </is>
      </c>
      <c r="B3" s="7" t="inlineStr">
        <is>
          <t>459580</t>
        </is>
      </c>
      <c r="C3" s="7" t="inlineStr">
        <is>
          <t>KRX</t>
        </is>
      </c>
      <c r="D3" s="7" t="inlineStr">
        <is>
          <t>Cash</t>
        </is>
      </c>
      <c r="E3" s="8">
        <f>INDEX(Price!C:C,MATCH(TRUE,INDEX(ISNUMBER(Price!C$2:C$1000),0),0)+1)</f>
        <v/>
      </c>
    </row>
    <row r="4" ht="18" customHeight="1">
      <c r="A4" s="3" t="inlineStr">
        <is>
          <t>TIGER CD1년금리액티브(합성)</t>
        </is>
      </c>
      <c r="B4" s="4" t="inlineStr">
        <is>
          <t>475630</t>
        </is>
      </c>
      <c r="C4" s="4" t="inlineStr">
        <is>
          <t>KRX</t>
        </is>
      </c>
      <c r="D4" s="4" t="inlineStr">
        <is>
          <t>Cash</t>
        </is>
      </c>
      <c r="E4" s="5">
        <f>INDEX(Price!D:D,MATCH(TRUE,INDEX(ISNUMBER(Price!D$2:D$1000),0),0)+1)</f>
        <v/>
      </c>
    </row>
    <row r="5" ht="18" customHeight="1">
      <c r="A5" s="6" t="inlineStr">
        <is>
          <t>KRW</t>
        </is>
      </c>
      <c r="B5" s="7" t="inlineStr">
        <is>
          <t>KRW_KRW</t>
        </is>
      </c>
      <c r="C5" s="7" t="inlineStr">
        <is>
          <t>KRX</t>
        </is>
      </c>
      <c r="D5" s="7" t="inlineStr">
        <is>
          <t>Cash</t>
        </is>
      </c>
      <c r="E5" s="8" t="n">
        <v>1</v>
      </c>
    </row>
    <row r="6" ht="18" customHeight="1">
      <c r="A6" s="3" t="inlineStr">
        <is>
          <t>SGOV</t>
        </is>
      </c>
      <c r="B6" s="4" t="inlineStr">
        <is>
          <t>SGOV</t>
        </is>
      </c>
      <c r="C6" s="4" t="inlineStr">
        <is>
          <t>NYSE Arca</t>
        </is>
      </c>
      <c r="D6" s="4" t="inlineStr">
        <is>
          <t>Cash</t>
        </is>
      </c>
      <c r="E6" s="5">
        <f>INDEX(Price!E:E,MATCH(TRUE,INDEX(ISNUMBER(Price!E$2:E$1000),0),0)+1)</f>
        <v/>
      </c>
    </row>
    <row r="7" ht="18" customHeight="1">
      <c r="A7" s="6" t="inlineStr">
        <is>
          <t>STRK</t>
        </is>
      </c>
      <c r="B7" s="7" t="inlineStr">
        <is>
          <t>STRK</t>
        </is>
      </c>
      <c r="C7" s="7" t="inlineStr">
        <is>
          <t>NASDAQ</t>
        </is>
      </c>
      <c r="D7" s="7" t="inlineStr">
        <is>
          <t>Cash</t>
        </is>
      </c>
      <c r="E7" s="8">
        <f>INDEX(Price!F:F,MATCH(TRUE,INDEX(ISNUMBER(Price!F$2:F$1000),0),0)+1)</f>
        <v/>
      </c>
    </row>
    <row r="8" ht="18" customHeight="1">
      <c r="A8" s="3" t="inlineStr">
        <is>
          <t>STRC</t>
        </is>
      </c>
      <c r="B8" s="4" t="inlineStr">
        <is>
          <t>STRC</t>
        </is>
      </c>
      <c r="C8" s="4" t="inlineStr">
        <is>
          <t>NASDAQ</t>
        </is>
      </c>
      <c r="D8" s="4" t="inlineStr">
        <is>
          <t>Cash</t>
        </is>
      </c>
      <c r="E8" s="5">
        <f>INDEX(Price!G:G,MATCH(TRUE,INDEX(ISNUMBER(Price!G$2:G$1000),0),0)+1)</f>
        <v/>
      </c>
    </row>
    <row r="9" ht="18" customHeight="1">
      <c r="A9" s="6" t="inlineStr">
        <is>
          <t>STRD</t>
        </is>
      </c>
      <c r="B9" s="7" t="inlineStr">
        <is>
          <t>STRD</t>
        </is>
      </c>
      <c r="C9" s="7" t="inlineStr">
        <is>
          <t>NASDAQ</t>
        </is>
      </c>
      <c r="D9" s="7" t="inlineStr">
        <is>
          <t>Cash</t>
        </is>
      </c>
      <c r="E9" s="8">
        <f>INDEX(Price!H:H,MATCH(TRUE,INDEX(ISNUMBER(Price!H$2:H$1000),0),0)+1)</f>
        <v/>
      </c>
    </row>
    <row r="10" ht="18" customHeight="1">
      <c r="A10" s="3" t="inlineStr">
        <is>
          <t>STRF</t>
        </is>
      </c>
      <c r="B10" s="4" t="inlineStr">
        <is>
          <t>STRF</t>
        </is>
      </c>
      <c r="C10" s="4" t="inlineStr">
        <is>
          <t>NASDAQ</t>
        </is>
      </c>
      <c r="D10" s="4" t="inlineStr">
        <is>
          <t>Cash</t>
        </is>
      </c>
      <c r="E10" s="5">
        <f>INDEX(Price!I:I,MATCH(TRUE,INDEX(ISNUMBER(Price!I$2:I$1000),0),0)+1)</f>
        <v/>
      </c>
    </row>
    <row r="11" ht="18" customHeight="1">
      <c r="A11" s="6" t="inlineStr">
        <is>
          <t>USDT</t>
        </is>
      </c>
      <c r="B11" s="7" t="inlineStr">
        <is>
          <t>USDT_KRW</t>
        </is>
      </c>
      <c r="C11" s="7" t="inlineStr">
        <is>
          <t>Upbit</t>
        </is>
      </c>
      <c r="D11" s="7" t="inlineStr">
        <is>
          <t>Cash</t>
        </is>
      </c>
      <c r="E11" s="8">
        <f>INDEX(Price!J:J,MATCH(TRUE,INDEX(ISNUMBER(Price!J$2:J$1000),0),0)+1)</f>
        <v/>
      </c>
    </row>
    <row r="12" ht="18" customHeight="1">
      <c r="A12" s="3" t="inlineStr">
        <is>
          <t>USD</t>
        </is>
      </c>
      <c r="B12" s="4" t="inlineStr">
        <is>
          <t>USD_KRW</t>
        </is>
      </c>
      <c r="C12" s="4" t="inlineStr">
        <is>
          <t>Forex</t>
        </is>
      </c>
      <c r="D12" s="4" t="inlineStr">
        <is>
          <t>Cash</t>
        </is>
      </c>
      <c r="E12" s="5">
        <f>INDEX(Price!K:K,MATCH(TRUE,INDEX(ISNUMBER(Price!K$2:K$1000),0),0)+1)</f>
        <v/>
      </c>
    </row>
    <row r="13" ht="18" customHeight="1">
      <c r="A13" s="6" t="inlineStr">
        <is>
          <t>KINDEX KRX금현물</t>
        </is>
      </c>
      <c r="B13" s="7" t="inlineStr">
        <is>
          <t>411060</t>
        </is>
      </c>
      <c r="C13" s="7" t="inlineStr">
        <is>
          <t>KRX</t>
        </is>
      </c>
      <c r="D13" s="7" t="inlineStr">
        <is>
          <t>Gold</t>
        </is>
      </c>
      <c r="E13" s="8">
        <f>INDEX(Price!L:L,MATCH(TRUE,INDEX(ISNUMBER(Price!L$2:L$1000),0),0)+1)</f>
        <v/>
      </c>
    </row>
    <row r="14" ht="18" customHeight="1">
      <c r="A14" s="3" t="inlineStr">
        <is>
          <t>ACE 미국10년국채액티브(H)</t>
        </is>
      </c>
      <c r="B14" s="4" t="inlineStr">
        <is>
          <t>0085P0</t>
        </is>
      </c>
      <c r="C14" s="4" t="inlineStr">
        <is>
          <t>KRX</t>
        </is>
      </c>
      <c r="D14" s="4" t="inlineStr">
        <is>
          <t>Bonds</t>
        </is>
      </c>
      <c r="E14" s="5">
        <f>INDEX(Price!M:M,MATCH(TRUE,INDEX(ISNUMBER(Price!M$2:M$1000),0),0)+1)</f>
        <v/>
      </c>
    </row>
    <row r="15" ht="18" customHeight="1">
      <c r="A15" s="6" t="inlineStr">
        <is>
          <t>ACE 미국장기채액티브</t>
        </is>
      </c>
      <c r="B15" s="7" t="inlineStr">
        <is>
          <t>476760</t>
        </is>
      </c>
      <c r="C15" s="7" t="inlineStr">
        <is>
          <t>KRX</t>
        </is>
      </c>
      <c r="D15" s="7" t="inlineStr">
        <is>
          <t>Bonds</t>
        </is>
      </c>
      <c r="E15" s="8">
        <f>INDEX(Price!N:N,MATCH(TRUE,INDEX(ISNUMBER(Price!N$2:N$1000),0),0)+1)</f>
        <v/>
      </c>
    </row>
    <row r="16" ht="18" customHeight="1">
      <c r="A16" s="3" t="inlineStr">
        <is>
          <t>VGIT</t>
        </is>
      </c>
      <c r="B16" s="4" t="inlineStr">
        <is>
          <t>VGIT</t>
        </is>
      </c>
      <c r="C16" s="4" t="inlineStr">
        <is>
          <t>NASDAQ</t>
        </is>
      </c>
      <c r="D16" s="4" t="inlineStr">
        <is>
          <t>Bonds</t>
        </is>
      </c>
      <c r="E16" s="5">
        <f>INDEX(Price!O:O,MATCH(TRUE,INDEX(ISNUMBER(Price!O$2:O$1000),0),0)+1)</f>
        <v/>
      </c>
    </row>
    <row r="17" ht="18" customHeight="1">
      <c r="A17" s="6" t="inlineStr">
        <is>
          <t>VGLT</t>
        </is>
      </c>
      <c r="B17" s="7" t="inlineStr">
        <is>
          <t>VGLT</t>
        </is>
      </c>
      <c r="C17" s="7" t="inlineStr">
        <is>
          <t>NASDAQ</t>
        </is>
      </c>
      <c r="D17" s="7" t="inlineStr">
        <is>
          <t>Bonds</t>
        </is>
      </c>
      <c r="E17" s="8">
        <f>INDEX(Price!P:P,MATCH(TRUE,INDEX(ISNUMBER(Price!P$2:P$1000),0),0)+1)</f>
        <v/>
      </c>
    </row>
    <row r="18" ht="18" customHeight="1">
      <c r="A18" s="3" t="inlineStr">
        <is>
          <t>VTIP</t>
        </is>
      </c>
      <c r="B18" s="4" t="inlineStr">
        <is>
          <t>VTIP</t>
        </is>
      </c>
      <c r="C18" s="4" t="inlineStr">
        <is>
          <t>NASDAQ</t>
        </is>
      </c>
      <c r="D18" s="4" t="inlineStr">
        <is>
          <t>Bonds</t>
        </is>
      </c>
      <c r="E18" s="5">
        <f>INDEX(Price!Q:Q,MATCH(TRUE,INDEX(ISNUMBER(Price!Q$2:Q$1000),0),0)+1)</f>
        <v/>
      </c>
    </row>
    <row r="19" ht="18" customHeight="1">
      <c r="A19" s="6" t="inlineStr">
        <is>
          <t>TIGER MSCI US 리츠(합성H)</t>
        </is>
      </c>
      <c r="B19" s="7" t="inlineStr">
        <is>
          <t>182480</t>
        </is>
      </c>
      <c r="C19" s="7" t="inlineStr">
        <is>
          <t>KRX</t>
        </is>
      </c>
      <c r="D19" s="7" t="inlineStr">
        <is>
          <t>Kor Stock</t>
        </is>
      </c>
      <c r="E19" s="8">
        <f>INDEX(Price!R:R,MATCH(TRUE,INDEX(ISNUMBER(Price!R$2:R$1000),0),0)+1)</f>
        <v/>
      </c>
    </row>
    <row r="20" ht="18" customHeight="1">
      <c r="A20" s="3" t="inlineStr">
        <is>
          <t>TIGER KOSDAQ150</t>
        </is>
      </c>
      <c r="B20" s="4" t="inlineStr">
        <is>
          <t>232080</t>
        </is>
      </c>
      <c r="C20" s="4" t="inlineStr">
        <is>
          <t>KRX</t>
        </is>
      </c>
      <c r="D20" s="4" t="inlineStr">
        <is>
          <t>Kor Stock</t>
        </is>
      </c>
      <c r="E20" s="5">
        <f>INDEX(Price!S:S,MATCH(TRUE,INDEX(ISNUMBER(Price!S$2:S$1000),0),0)+1)</f>
        <v/>
      </c>
    </row>
    <row r="21" ht="18" customHeight="1">
      <c r="A21" s="6" t="inlineStr">
        <is>
          <t>ACE 미국S&amp;P500</t>
        </is>
      </c>
      <c r="B21" s="7" t="inlineStr">
        <is>
          <t>360200</t>
        </is>
      </c>
      <c r="C21" s="7" t="inlineStr">
        <is>
          <t>KRX</t>
        </is>
      </c>
      <c r="D21" s="7" t="inlineStr">
        <is>
          <t>Kor Stock</t>
        </is>
      </c>
      <c r="E21" s="8">
        <f>INDEX(Price!T:T,MATCH(TRUE,INDEX(ISNUMBER(Price!T$2:T$1000),0),0)+1)</f>
        <v/>
      </c>
    </row>
    <row r="22" ht="18" customHeight="1">
      <c r="A22" s="3" t="inlineStr">
        <is>
          <t>KBSTAR 200 Total Return</t>
        </is>
      </c>
      <c r="B22" s="4" t="inlineStr">
        <is>
          <t>361580</t>
        </is>
      </c>
      <c r="C22" s="4" t="inlineStr">
        <is>
          <t>KRX</t>
        </is>
      </c>
      <c r="D22" s="4" t="inlineStr">
        <is>
          <t>Kor Stock</t>
        </is>
      </c>
      <c r="E22" s="5">
        <f>INDEX(Price!U:U,MATCH(TRUE,INDEX(ISNUMBER(Price!U$2:U$1000),0),0)+1)</f>
        <v/>
      </c>
    </row>
    <row r="23" ht="18" customHeight="1">
      <c r="A23" s="6" t="inlineStr">
        <is>
          <t>KODEX S&amp;P500</t>
        </is>
      </c>
      <c r="B23" s="7" t="inlineStr">
        <is>
          <t>379800</t>
        </is>
      </c>
      <c r="C23" s="7" t="inlineStr">
        <is>
          <t>KRX</t>
        </is>
      </c>
      <c r="D23" s="7" t="inlineStr">
        <is>
          <t>Kor Stock</t>
        </is>
      </c>
      <c r="E23" s="8">
        <f>INDEX(Price!V:V,MATCH(TRUE,INDEX(ISNUMBER(Price!V$2:V$1000),0),0)+1)</f>
        <v/>
      </c>
    </row>
    <row r="24" ht="18" customHeight="1">
      <c r="A24" s="3" t="inlineStr">
        <is>
          <t>KODEX 미국나스닥100(TR)</t>
        </is>
      </c>
      <c r="B24" s="4" t="inlineStr">
        <is>
          <t>379810</t>
        </is>
      </c>
      <c r="C24" s="4" t="inlineStr">
        <is>
          <t>KRX</t>
        </is>
      </c>
      <c r="D24" s="4" t="inlineStr">
        <is>
          <t>Kor Stock</t>
        </is>
      </c>
      <c r="E24" s="5">
        <f>INDEX(Price!W:W,MATCH(TRUE,INDEX(ISNUMBER(Price!W$2:W$1000),0),0)+1)</f>
        <v/>
      </c>
    </row>
    <row r="25" ht="18" customHeight="1">
      <c r="A25" s="6" t="inlineStr">
        <is>
          <t>KINDEX S&amp;P500 3070 Blend</t>
        </is>
      </c>
      <c r="B25" s="7" t="inlineStr">
        <is>
          <t>438080</t>
        </is>
      </c>
      <c r="C25" s="7" t="inlineStr">
        <is>
          <t>KRX</t>
        </is>
      </c>
      <c r="D25" s="7" t="inlineStr">
        <is>
          <t>Kor Stock</t>
        </is>
      </c>
      <c r="E25" s="8">
        <f>INDEX(Price!X:X,MATCH(TRUE,INDEX(ISNUMBER(Price!X$2:X$1000),0),0)+1)</f>
        <v/>
      </c>
    </row>
    <row r="26" ht="18" customHeight="1">
      <c r="A26" s="3" t="inlineStr">
        <is>
          <t>유비케어</t>
        </is>
      </c>
      <c r="B26" s="4" t="inlineStr">
        <is>
          <t>032620</t>
        </is>
      </c>
      <c r="C26" s="4" t="inlineStr">
        <is>
          <t>KOSDAQ</t>
        </is>
      </c>
      <c r="D26" s="4" t="inlineStr">
        <is>
          <t>Kor Stock</t>
        </is>
      </c>
      <c r="E26" s="5">
        <f>INDEX(Price!Y:Y,MATCH(TRUE,INDEX(ISNUMBER(Price!Y$2:Y$1000),0),0)+1)</f>
        <v/>
      </c>
    </row>
    <row r="27" ht="18" customHeight="1">
      <c r="A27" s="3" t="inlineStr">
        <is>
          <t>KoAct 코스닥액티브</t>
        </is>
      </c>
      <c r="B27" s="4" t="inlineStr">
        <is>
          <t>0163Y0</t>
        </is>
      </c>
      <c r="C27" s="4" t="inlineStr">
        <is>
          <t>KRX</t>
        </is>
      </c>
      <c r="D27" s="4" t="inlineStr">
        <is>
          <t>Kor Stock</t>
        </is>
      </c>
      <c r="E27" s="5">
        <f>INDEX(Price!Z:Z,MATCH(TRUE,INDEX(ISNUMBER(Price!Z$2:Z$1000),0),0)+1)</f>
        <v/>
      </c>
    </row>
    <row r="28" ht="18" customHeight="1">
      <c r="A28" s="6" t="inlineStr">
        <is>
          <t>QQQM</t>
        </is>
      </c>
      <c r="B28" s="7" t="inlineStr">
        <is>
          <t>QQQM</t>
        </is>
      </c>
      <c r="C28" s="7" t="inlineStr">
        <is>
          <t>NASDAQ</t>
        </is>
      </c>
      <c r="D28" s="7" t="inlineStr">
        <is>
          <t>US Stock</t>
        </is>
      </c>
      <c r="E28" s="8">
        <f>INDEX(Price!AA:AA,MATCH(TRUE,INDEX(ISNUMBER(Price!AA$2:AA$1000),0),0)+1)</f>
        <v/>
      </c>
    </row>
    <row r="29" ht="18" customHeight="1">
      <c r="A29" s="3" t="inlineStr">
        <is>
          <t>SCHD</t>
        </is>
      </c>
      <c r="B29" s="4" t="inlineStr">
        <is>
          <t>SCHD</t>
        </is>
      </c>
      <c r="C29" s="4" t="inlineStr">
        <is>
          <t>NYSE Arca</t>
        </is>
      </c>
      <c r="D29" s="4" t="inlineStr">
        <is>
          <t>US Stock</t>
        </is>
      </c>
      <c r="E29" s="5">
        <f>INDEX(Price!AB:AB,MATCH(TRUE,INDEX(ISNUMBER(Price!AB$2:AB$1000),0),0)+1)</f>
        <v/>
      </c>
    </row>
    <row r="30" ht="18" customHeight="1">
      <c r="A30" s="6" t="inlineStr">
        <is>
          <t>SPYM</t>
        </is>
      </c>
      <c r="B30" s="7" t="inlineStr">
        <is>
          <t>SPYM</t>
        </is>
      </c>
      <c r="C30" s="7" t="inlineStr">
        <is>
          <t>NYSE Arca</t>
        </is>
      </c>
      <c r="D30" s="7" t="inlineStr">
        <is>
          <t>US Stock</t>
        </is>
      </c>
      <c r="E30" s="8">
        <f>INDEX(Price!AC:AC,MATCH(TRUE,INDEX(ISNUMBER(Price!AC$2:AC$1000),0),0)+1)</f>
        <v/>
      </c>
    </row>
    <row r="31" ht="18" customHeight="1">
      <c r="A31" s="3" t="inlineStr">
        <is>
          <t>MSTR</t>
        </is>
      </c>
      <c r="B31" s="4" t="inlineStr">
        <is>
          <t>MSTR</t>
        </is>
      </c>
      <c r="C31" s="4" t="inlineStr">
        <is>
          <t>NASDAQ</t>
        </is>
      </c>
      <c r="D31" s="4" t="inlineStr">
        <is>
          <t>US Stock</t>
        </is>
      </c>
      <c r="E31" s="5">
        <f>INDEX(Price!AD:AD,MATCH(TRUE,INDEX(ISNUMBER(Price!AD$2:AD$1000),0),0)+1)</f>
        <v/>
      </c>
    </row>
    <row r="32" ht="18" customHeight="1">
      <c r="A32" s="6" t="inlineStr">
        <is>
          <t>VIG</t>
        </is>
      </c>
      <c r="B32" s="7" t="inlineStr">
        <is>
          <t>VIG</t>
        </is>
      </c>
      <c r="C32" s="7" t="inlineStr">
        <is>
          <t>NYSE Arca</t>
        </is>
      </c>
      <c r="D32" s="7" t="inlineStr">
        <is>
          <t>US Stock</t>
        </is>
      </c>
      <c r="E32" s="8">
        <f>INDEX(Price!AE:AE,MATCH(TRUE,INDEX(ISNUMBER(Price!AE$2:AE$1000),0),0)+1)</f>
        <v/>
      </c>
    </row>
    <row r="33" ht="18" customHeight="1">
      <c r="A33" s="3" t="inlineStr">
        <is>
          <t>Bitcoin</t>
        </is>
      </c>
      <c r="B33" s="4" t="inlineStr">
        <is>
          <t>BTC_USDT</t>
        </is>
      </c>
      <c r="C33" s="4" t="inlineStr">
        <is>
          <t>Crypto</t>
        </is>
      </c>
      <c r="D33" s="4" t="inlineStr">
        <is>
          <t>Crypto</t>
        </is>
      </c>
      <c r="E33" s="5">
        <f>INDEX(Price!AF:AF,MATCH(TRUE,INDEX(ISNUMBER(Price!AF$2:AF$1000),0),0)+1)</f>
        <v/>
      </c>
    </row>
    <row r="34">
      <c r="A34" s="6" t="inlineStr">
        <is>
          <t>Ethereum</t>
        </is>
      </c>
      <c r="B34" s="7" t="inlineStr">
        <is>
          <t>ETH_USDT</t>
        </is>
      </c>
      <c r="C34" s="7" t="inlineStr">
        <is>
          <t>Crypto</t>
        </is>
      </c>
      <c r="D34" s="7" t="inlineStr">
        <is>
          <t>Crypto</t>
        </is>
      </c>
      <c r="E34" s="8">
        <f>INDEX(Price!AG:AG,MATCH(TRUE,INDEX(ISNUMBER(Price!AG$2:AG$1000),0),0)+1)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14" customWidth="1" min="1" max="32"/>
  </cols>
  <sheetData>
    <row r="1" ht="20" customHeight="1">
      <c r="A1" s="1" t="inlineStr">
        <is>
          <t>Date</t>
        </is>
      </c>
      <c r="B1" s="1" t="inlineStr">
        <is>
          <t>423160</t>
        </is>
      </c>
      <c r="C1" s="1" t="inlineStr">
        <is>
          <t>459580</t>
        </is>
      </c>
      <c r="D1" s="1" t="inlineStr">
        <is>
          <t>475630</t>
        </is>
      </c>
      <c r="E1" s="1" t="inlineStr">
        <is>
          <t>SGOV</t>
        </is>
      </c>
      <c r="F1" s="1" t="inlineStr">
        <is>
          <t>Strategy Prf</t>
        </is>
      </c>
      <c r="G1" s="1" t="inlineStr">
        <is>
          <t>Strategy Prf A</t>
        </is>
      </c>
      <c r="H1" s="1" t="inlineStr">
        <is>
          <t>Strategy Prf D</t>
        </is>
      </c>
      <c r="I1" s="1" t="inlineStr">
        <is>
          <t>Strategy Prf F</t>
        </is>
      </c>
      <c r="J1" s="1" t="inlineStr">
        <is>
          <t>USDT_KRW Upbit</t>
        </is>
      </c>
      <c r="K1" s="1" t="inlineStr">
        <is>
          <t>USD_KRW</t>
        </is>
      </c>
      <c r="L1" s="1" t="inlineStr">
        <is>
          <t>411060</t>
        </is>
      </c>
      <c r="M1" s="1" t="inlineStr">
        <is>
          <t>0085P0</t>
        </is>
      </c>
      <c r="N1" s="1" t="inlineStr">
        <is>
          <t>476760</t>
        </is>
      </c>
      <c r="O1" s="1" t="inlineStr">
        <is>
          <t>VGIT</t>
        </is>
      </c>
      <c r="P1" s="1" t="inlineStr">
        <is>
          <t>VGLT</t>
        </is>
      </c>
      <c r="Q1" s="1" t="inlineStr">
        <is>
          <t>VTIP</t>
        </is>
      </c>
      <c r="R1" s="1" t="inlineStr">
        <is>
          <t>182480</t>
        </is>
      </c>
      <c r="S1" s="1" t="inlineStr">
        <is>
          <t>232080</t>
        </is>
      </c>
      <c r="T1" s="1" t="inlineStr">
        <is>
          <t>360200</t>
        </is>
      </c>
      <c r="U1" s="1" t="inlineStr">
        <is>
          <t>361580</t>
        </is>
      </c>
      <c r="V1" s="1" t="inlineStr">
        <is>
          <t>379800</t>
        </is>
      </c>
      <c r="W1" s="1" t="inlineStr">
        <is>
          <t>379810</t>
        </is>
      </c>
      <c r="X1" s="1" t="inlineStr">
        <is>
          <t>438080</t>
        </is>
      </c>
      <c r="Y1" s="1" t="inlineStr">
        <is>
          <t>UB Care</t>
        </is>
      </c>
      <c r="Z1" s="1" t="inlineStr">
        <is>
          <t>0163Y0</t>
        </is>
      </c>
      <c r="AA1" s="1" t="inlineStr">
        <is>
          <t>QQQM</t>
        </is>
      </c>
      <c r="AB1" s="1" t="inlineStr">
        <is>
          <t>SCHD</t>
        </is>
      </c>
      <c r="AC1" s="1" t="inlineStr">
        <is>
          <t>SPYM</t>
        </is>
      </c>
      <c r="AD1" s="1" t="inlineStr">
        <is>
          <t>Strategy</t>
        </is>
      </c>
      <c r="AE1" s="1" t="inlineStr">
        <is>
          <t>VIG</t>
        </is>
      </c>
      <c r="AF1" s="1" t="inlineStr">
        <is>
          <t>Bitcoin</t>
        </is>
      </c>
      <c r="AG1" s="1" t="inlineStr">
        <is>
          <t>Ethereum</t>
        </is>
      </c>
    </row>
    <row r="2" ht="16" customHeight="1">
      <c r="A2" t="inlineStr">
        <is>
          <t>04/29/2026</t>
        </is>
      </c>
      <c r="B2" t="n">
        <v>110635</v>
      </c>
      <c r="C2" t="n">
        <v>1073620</v>
      </c>
      <c r="D2" t="n">
        <v>1065150</v>
      </c>
      <c r="E2" t="n">
        <v>100.6600036621094</v>
      </c>
      <c r="J2" t="n">
        <v>1477.63</v>
      </c>
      <c r="K2" t="n">
        <v>1477.430053710938</v>
      </c>
      <c r="L2" t="n">
        <v>30205</v>
      </c>
      <c r="M2" t="n">
        <v>10740</v>
      </c>
      <c r="N2" t="n">
        <v>9980</v>
      </c>
      <c r="O2" t="n">
        <v>59.43999862670898</v>
      </c>
      <c r="P2" t="n">
        <v>55.22000122070312</v>
      </c>
      <c r="Q2" t="n">
        <v>50.36999893188477</v>
      </c>
      <c r="R2" t="n">
        <v>13575</v>
      </c>
      <c r="S2" t="n">
        <v>20900</v>
      </c>
      <c r="T2" t="n">
        <v>26490</v>
      </c>
      <c r="U2" t="n">
        <v>57410</v>
      </c>
      <c r="V2" t="n">
        <v>23885</v>
      </c>
      <c r="W2" t="n">
        <v>26600</v>
      </c>
      <c r="X2" t="n">
        <v>14435</v>
      </c>
      <c r="Y2" t="n">
        <v>4140</v>
      </c>
      <c r="Z2" t="n">
        <v>13235</v>
      </c>
      <c r="AA2" t="n">
        <v>270.760009765625</v>
      </c>
      <c r="AB2" t="n">
        <v>31.30999946594238</v>
      </c>
      <c r="AC2" t="n">
        <v>83.76000213623047</v>
      </c>
      <c r="AD2" t="n">
        <v>165.7100067138672</v>
      </c>
      <c r="AE2" t="n">
        <v>225.3500061035156</v>
      </c>
      <c r="AF2" t="n">
        <v>77011.203125</v>
      </c>
      <c r="AG2" t="n">
        <v>2322.72998046875</v>
      </c>
    </row>
    <row r="3" ht="16" customHeight="1">
      <c r="A3" t="inlineStr">
        <is>
          <t>04/28/2026</t>
        </is>
      </c>
      <c r="B3" t="n">
        <v>110865</v>
      </c>
      <c r="C3" t="n">
        <v>1075680</v>
      </c>
      <c r="D3" t="n">
        <v>1064810</v>
      </c>
      <c r="E3" t="n">
        <v>100.6399993896484</v>
      </c>
      <c r="J3" t="n">
        <v>1474.67</v>
      </c>
      <c r="K3" t="n">
        <v>1473.880004882812</v>
      </c>
      <c r="L3" t="n">
        <v>30490</v>
      </c>
      <c r="M3" t="n">
        <v>10730</v>
      </c>
      <c r="N3" t="n">
        <v>9945</v>
      </c>
      <c r="O3" t="n">
        <v>59.5099983215332</v>
      </c>
      <c r="P3" t="n">
        <v>55.18000030517578</v>
      </c>
      <c r="Q3" t="n">
        <v>50.38000106811523</v>
      </c>
      <c r="R3" t="n">
        <v>13500</v>
      </c>
      <c r="S3" t="n">
        <v>20835</v>
      </c>
      <c r="T3" t="n">
        <v>26525</v>
      </c>
      <c r="U3" t="n">
        <v>57010</v>
      </c>
      <c r="V3" t="n">
        <v>23985</v>
      </c>
      <c r="W3" t="n">
        <v>26660</v>
      </c>
      <c r="X3" t="n">
        <v>14395</v>
      </c>
      <c r="Y3" t="n">
        <v>4210</v>
      </c>
      <c r="Z3" t="n">
        <v>13120</v>
      </c>
      <c r="AA3" t="n">
        <v>273.510009765625</v>
      </c>
      <c r="AB3" t="n">
        <v>31.1299991607666</v>
      </c>
      <c r="AC3" t="n">
        <v>84.16999816894531</v>
      </c>
      <c r="AD3" t="n">
        <v>169.1999969482422</v>
      </c>
      <c r="AE3" t="n">
        <v>225.9900054931641</v>
      </c>
      <c r="AF3" t="n">
        <v>76573</v>
      </c>
      <c r="AG3" t="n">
        <v>2273.89990234375</v>
      </c>
    </row>
    <row r="4" ht="16" customHeight="1">
      <c r="A4" t="inlineStr">
        <is>
          <t>04/27/2026</t>
        </is>
      </c>
      <c r="B4" t="n">
        <v>110860</v>
      </c>
      <c r="C4" t="n">
        <v>1075595</v>
      </c>
      <c r="D4" t="n">
        <v>1064730</v>
      </c>
      <c r="E4" t="n">
        <v>100.6399993896484</v>
      </c>
      <c r="J4" t="n">
        <v>1471.9</v>
      </c>
      <c r="K4" t="n">
        <v>1471.380004882812</v>
      </c>
      <c r="L4" t="n">
        <v>30900</v>
      </c>
      <c r="M4" t="n">
        <v>10735</v>
      </c>
      <c r="N4" t="n">
        <v>9990</v>
      </c>
      <c r="O4" t="n">
        <v>59.58000183105469</v>
      </c>
      <c r="P4" t="n">
        <v>55.43000030517578</v>
      </c>
      <c r="Q4" t="n">
        <v>50.34000015258789</v>
      </c>
      <c r="R4" t="n">
        <v>13565</v>
      </c>
      <c r="S4" t="n">
        <v>21100</v>
      </c>
      <c r="T4" t="n">
        <v>26475</v>
      </c>
      <c r="U4" t="n">
        <v>56765</v>
      </c>
      <c r="V4" t="n">
        <v>23940</v>
      </c>
      <c r="W4" t="n">
        <v>26715</v>
      </c>
      <c r="X4" t="n">
        <v>14380</v>
      </c>
      <c r="Y4" t="n">
        <v>4200</v>
      </c>
      <c r="Z4" t="n">
        <v>13240</v>
      </c>
      <c r="AA4" t="n">
        <v>273.3800048828125</v>
      </c>
      <c r="AB4" t="n">
        <v>31.20000076293945</v>
      </c>
      <c r="AC4" t="n">
        <v>84.02999877929688</v>
      </c>
      <c r="AD4" t="n">
        <v>171.0200042724609</v>
      </c>
      <c r="AE4" t="n">
        <v>226.8300018310547</v>
      </c>
      <c r="AF4" t="n">
        <v>77614.71875</v>
      </c>
      <c r="AG4" t="n">
        <v>2319.489990234375</v>
      </c>
    </row>
    <row r="5" ht="16" customHeight="1">
      <c r="A5" t="inlineStr">
        <is>
          <t>04/26/2026</t>
        </is>
      </c>
      <c r="E5" t="n">
        <v>100.6399993896484</v>
      </c>
      <c r="J5" t="n">
        <v>1476.81</v>
      </c>
      <c r="K5" t="n">
        <v>1476.319946289062</v>
      </c>
      <c r="O5" t="n">
        <v>59.58000183105469</v>
      </c>
      <c r="P5" t="n">
        <v>55.43000030517578</v>
      </c>
      <c r="Q5" t="n">
        <v>50.34000015258789</v>
      </c>
      <c r="AA5" t="n">
        <v>273.3800048828125</v>
      </c>
      <c r="AB5" t="n">
        <v>31.20000076293945</v>
      </c>
      <c r="AC5" t="n">
        <v>84.02999877929688</v>
      </c>
      <c r="AD5" t="n">
        <v>171.0200042724609</v>
      </c>
      <c r="AE5" t="n">
        <v>226.8300018310547</v>
      </c>
      <c r="AF5" t="n">
        <v>78012.2890625</v>
      </c>
      <c r="AG5" t="n">
        <v>2330.18994140625</v>
      </c>
    </row>
    <row r="6" ht="16" customHeight="1">
      <c r="A6" t="inlineStr">
        <is>
          <t>04/25/2026</t>
        </is>
      </c>
      <c r="E6" t="n">
        <v>100.6399993896484</v>
      </c>
      <c r="J6" t="n">
        <v>1476.83</v>
      </c>
      <c r="K6" t="n">
        <v>1476.319946289062</v>
      </c>
      <c r="O6" t="n">
        <v>59.58000183105469</v>
      </c>
      <c r="P6" t="n">
        <v>55.43000030517578</v>
      </c>
      <c r="Q6" t="n">
        <v>50.34000015258789</v>
      </c>
      <c r="AA6" t="n">
        <v>273.3800048828125</v>
      </c>
      <c r="AB6" t="n">
        <v>31.20000076293945</v>
      </c>
      <c r="AC6" t="n">
        <v>84.02999877929688</v>
      </c>
      <c r="AD6" t="n">
        <v>171.0200042724609</v>
      </c>
      <c r="AE6" t="n">
        <v>226.8300018310547</v>
      </c>
      <c r="AF6" t="n">
        <v>77489.8203125</v>
      </c>
      <c r="AG6" t="n">
        <v>2314.89990234375</v>
      </c>
    </row>
    <row r="7" ht="16" customHeight="1">
      <c r="A7" t="inlineStr">
        <is>
          <t>04/24/2026</t>
        </is>
      </c>
      <c r="B7" t="n">
        <v>110845</v>
      </c>
      <c r="C7" t="n">
        <v>1075515</v>
      </c>
      <c r="D7" t="n">
        <v>1064690</v>
      </c>
      <c r="E7" t="n">
        <v>100.6100006103516</v>
      </c>
      <c r="J7" t="n">
        <v>1485.08</v>
      </c>
      <c r="K7" t="n">
        <v>1483.680053710938</v>
      </c>
      <c r="L7" t="n">
        <v>31070</v>
      </c>
      <c r="M7" t="n">
        <v>10815</v>
      </c>
      <c r="N7" t="n">
        <v>10085</v>
      </c>
      <c r="O7" t="n">
        <v>59.47999954223633</v>
      </c>
      <c r="P7" t="n">
        <v>55.31999969482422</v>
      </c>
      <c r="Q7" t="n">
        <v>50.2400016784668</v>
      </c>
      <c r="R7" t="n">
        <v>13600</v>
      </c>
      <c r="S7" t="n">
        <v>20695</v>
      </c>
      <c r="T7" t="n">
        <v>26510</v>
      </c>
      <c r="U7" t="n">
        <v>55465</v>
      </c>
      <c r="V7" t="n">
        <v>23970</v>
      </c>
      <c r="W7" t="n">
        <v>26550</v>
      </c>
      <c r="X7" t="n">
        <v>14450</v>
      </c>
      <c r="Y7" t="n">
        <v>4160</v>
      </c>
      <c r="Z7" t="n">
        <v>13045</v>
      </c>
      <c r="AA7" t="n">
        <v>268.2200012207031</v>
      </c>
      <c r="AB7" t="n">
        <v>31.42000007629395</v>
      </c>
      <c r="AC7" t="n">
        <v>83.37999725341797</v>
      </c>
      <c r="AD7" t="n">
        <v>172.4700012207031</v>
      </c>
      <c r="AE7" t="n">
        <v>227.7899932861328</v>
      </c>
      <c r="AF7" t="n">
        <v>77850.3125</v>
      </c>
      <c r="AG7" t="n">
        <v>2316.679931640625</v>
      </c>
    </row>
    <row r="8" ht="16" customHeight="1">
      <c r="A8" t="inlineStr">
        <is>
          <t>04/23/2026</t>
        </is>
      </c>
      <c r="B8" t="n">
        <v>110825</v>
      </c>
      <c r="C8" t="n">
        <v>1075430</v>
      </c>
      <c r="D8" t="n">
        <v>1064570</v>
      </c>
      <c r="E8" t="n">
        <v>100.6099014282227</v>
      </c>
      <c r="J8" t="n">
        <v>1480.77</v>
      </c>
      <c r="K8" t="n">
        <v>1479.97998046875</v>
      </c>
      <c r="L8" t="n">
        <v>31255</v>
      </c>
      <c r="M8" t="n">
        <v>10790</v>
      </c>
      <c r="N8" t="n">
        <v>10045</v>
      </c>
      <c r="O8" t="n">
        <v>59.57500076293945</v>
      </c>
      <c r="P8" t="n">
        <v>55.52999877929688</v>
      </c>
      <c r="Q8" t="n">
        <v>50.20000076293945</v>
      </c>
      <c r="R8" t="n">
        <v>13420</v>
      </c>
      <c r="S8" t="n">
        <v>20115</v>
      </c>
      <c r="T8" t="n">
        <v>26435</v>
      </c>
      <c r="U8" t="n">
        <v>55675</v>
      </c>
      <c r="V8" t="n">
        <v>23900</v>
      </c>
      <c r="W8" t="n">
        <v>26415</v>
      </c>
      <c r="X8" t="n">
        <v>14415</v>
      </c>
      <c r="Y8" t="n">
        <v>4140</v>
      </c>
      <c r="Z8" t="n">
        <v>12785</v>
      </c>
      <c r="AA8" t="n">
        <v>269.864990234375</v>
      </c>
      <c r="AB8" t="n">
        <v>31.26460075378418</v>
      </c>
      <c r="AC8" t="n">
        <v>83.70500183105469</v>
      </c>
      <c r="AD8" t="n">
        <v>177.5749969482422</v>
      </c>
      <c r="AE8" t="n">
        <v>227.6950073242188</v>
      </c>
      <c r="AF8" t="n">
        <v>77658.109375</v>
      </c>
      <c r="AG8" t="n">
        <v>2322.4599609375</v>
      </c>
    </row>
    <row r="9" ht="16" customHeight="1">
      <c r="A9" t="inlineStr">
        <is>
          <t>04/22/2026</t>
        </is>
      </c>
      <c r="B9" t="n">
        <v>110810</v>
      </c>
      <c r="C9" t="n">
        <v>1075180</v>
      </c>
      <c r="D9" t="n">
        <v>1064305</v>
      </c>
      <c r="E9" t="n">
        <v>100.5899963378906</v>
      </c>
      <c r="J9" t="n">
        <v>1477.93</v>
      </c>
      <c r="K9" t="n">
        <v>1477.380004882812</v>
      </c>
      <c r="L9" t="n">
        <v>31540</v>
      </c>
      <c r="M9" t="n">
        <v>10785</v>
      </c>
      <c r="N9" t="n">
        <v>10045</v>
      </c>
      <c r="O9" t="n">
        <v>59.52000045776367</v>
      </c>
      <c r="P9" t="n">
        <v>55.31999969482422</v>
      </c>
      <c r="Q9" t="n">
        <v>50.13999938964844</v>
      </c>
      <c r="R9" t="n">
        <v>13620</v>
      </c>
      <c r="S9" t="n">
        <v>20260</v>
      </c>
      <c r="T9" t="n">
        <v>26325</v>
      </c>
      <c r="U9" t="n">
        <v>55060</v>
      </c>
      <c r="V9" t="n">
        <v>23800</v>
      </c>
      <c r="W9" t="n">
        <v>26155</v>
      </c>
      <c r="X9" t="n">
        <v>14365</v>
      </c>
      <c r="Y9" t="n">
        <v>4190</v>
      </c>
      <c r="Z9" t="n">
        <v>12920</v>
      </c>
      <c r="AA9" t="n">
        <v>265.3099975585938</v>
      </c>
      <c r="AB9" t="n">
        <v>30.97999954223633</v>
      </c>
      <c r="AC9" t="n">
        <v>82.87000274658203</v>
      </c>
      <c r="AD9" t="n">
        <v>163.9700012207031</v>
      </c>
      <c r="AE9" t="n">
        <v>226.1699981689453</v>
      </c>
      <c r="AF9" t="n">
        <v>78044.296875</v>
      </c>
      <c r="AG9" t="n">
        <v>2394.409912109375</v>
      </c>
    </row>
    <row r="10" ht="16" customHeight="1">
      <c r="A10" t="inlineStr">
        <is>
          <t>04/21/2026</t>
        </is>
      </c>
      <c r="B10" t="n">
        <v>110810</v>
      </c>
      <c r="C10" t="n">
        <v>1075100</v>
      </c>
      <c r="D10" t="n">
        <v>1064220</v>
      </c>
      <c r="E10" t="n">
        <v>100.5699996948242</v>
      </c>
      <c r="J10" t="n">
        <v>1471.02</v>
      </c>
      <c r="K10" t="n">
        <v>1469.780029296875</v>
      </c>
      <c r="L10" t="n">
        <v>31550</v>
      </c>
      <c r="M10" t="n">
        <v>10755</v>
      </c>
      <c r="N10" t="n">
        <v>10035</v>
      </c>
      <c r="O10" t="n">
        <v>59.72000122070312</v>
      </c>
      <c r="P10" t="n">
        <v>55.63999938964844</v>
      </c>
      <c r="Q10" t="n">
        <v>50.18000030517578</v>
      </c>
      <c r="R10" t="n">
        <v>13805</v>
      </c>
      <c r="S10" t="n">
        <v>20300</v>
      </c>
      <c r="T10" t="n">
        <v>26295</v>
      </c>
      <c r="U10" t="n">
        <v>54895</v>
      </c>
      <c r="V10" t="n">
        <v>23775</v>
      </c>
      <c r="W10" t="n">
        <v>26050</v>
      </c>
      <c r="X10" t="n">
        <v>14325</v>
      </c>
      <c r="Y10" t="n">
        <v>4235</v>
      </c>
      <c r="Z10" t="n">
        <v>12880</v>
      </c>
      <c r="AA10" t="n">
        <v>266.2999877929688</v>
      </c>
      <c r="AB10" t="n">
        <v>31.03000068664551</v>
      </c>
      <c r="AC10" t="n">
        <v>83.41999816894531</v>
      </c>
      <c r="AD10" t="n">
        <v>170.8099975585938</v>
      </c>
      <c r="AE10" t="n">
        <v>227.3300018310547</v>
      </c>
      <c r="AF10" t="n">
        <v>75955.75</v>
      </c>
      <c r="AG10" t="n">
        <v>2316.169921875</v>
      </c>
    </row>
    <row r="11" ht="16" customHeight="1">
      <c r="A11" t="inlineStr">
        <is>
          <t>04/20/2026</t>
        </is>
      </c>
      <c r="B11" t="n">
        <v>110800</v>
      </c>
      <c r="C11" t="n">
        <v>1075020</v>
      </c>
      <c r="D11" t="n">
        <v>1064140</v>
      </c>
      <c r="E11" t="n">
        <v>100.5599975585938</v>
      </c>
      <c r="J11" t="n">
        <v>1472.56</v>
      </c>
      <c r="K11" t="n">
        <v>1476.380004882812</v>
      </c>
      <c r="L11" t="n">
        <v>31715</v>
      </c>
      <c r="M11" t="n">
        <v>10805</v>
      </c>
      <c r="N11" t="n">
        <v>10040</v>
      </c>
      <c r="O11" t="n">
        <v>59.7599983215332</v>
      </c>
      <c r="P11" t="n">
        <v>55.65000152587891</v>
      </c>
      <c r="Q11" t="n">
        <v>50.15999984741211</v>
      </c>
      <c r="R11" t="n">
        <v>13750</v>
      </c>
      <c r="S11" t="n">
        <v>20125</v>
      </c>
      <c r="T11" t="n">
        <v>26275</v>
      </c>
      <c r="U11" t="n">
        <v>53500</v>
      </c>
      <c r="V11" t="n">
        <v>23760</v>
      </c>
      <c r="W11" t="n">
        <v>26010</v>
      </c>
      <c r="X11" t="n">
        <v>14360</v>
      </c>
      <c r="Y11" t="n">
        <v>4270</v>
      </c>
      <c r="Z11" t="n">
        <v>12835</v>
      </c>
      <c r="AA11" t="n">
        <v>267.1300048828125</v>
      </c>
      <c r="AB11" t="n">
        <v>31.04999923706055</v>
      </c>
      <c r="AC11" t="n">
        <v>83.58000183105469</v>
      </c>
      <c r="AD11" t="n">
        <v>166.5200042724609</v>
      </c>
      <c r="AE11" t="n">
        <v>227.4600067138672</v>
      </c>
      <c r="AF11" t="n">
        <v>74814.03125</v>
      </c>
      <c r="AG11" t="n">
        <v>2287.18994140625</v>
      </c>
    </row>
    <row r="12" ht="16" customHeight="1">
      <c r="A12" t="inlineStr">
        <is>
          <t>04/19/2026</t>
        </is>
      </c>
      <c r="E12" t="n">
        <v>100.5599975585938</v>
      </c>
      <c r="J12" t="n">
        <v>1467.43</v>
      </c>
      <c r="K12" t="n">
        <v>1465.680053710938</v>
      </c>
      <c r="O12" t="n">
        <v>59.7599983215332</v>
      </c>
      <c r="P12" t="n">
        <v>55.65000152587891</v>
      </c>
      <c r="Q12" t="n">
        <v>50.15999984741211</v>
      </c>
      <c r="AA12" t="n">
        <v>267.1300048828125</v>
      </c>
      <c r="AB12" t="n">
        <v>31.04999923706055</v>
      </c>
      <c r="AC12" t="n">
        <v>83.58000183105469</v>
      </c>
      <c r="AD12" t="n">
        <v>166.5200042724609</v>
      </c>
      <c r="AE12" t="n">
        <v>227.4600067138672</v>
      </c>
      <c r="AF12" t="n">
        <v>75543.8203125</v>
      </c>
      <c r="AG12" t="n">
        <v>2340.06005859375</v>
      </c>
    </row>
    <row r="13" ht="16" customHeight="1">
      <c r="A13" t="inlineStr">
        <is>
          <t>04/18/2026</t>
        </is>
      </c>
      <c r="E13" t="n">
        <v>100.5599975585938</v>
      </c>
      <c r="J13" t="n">
        <v>1467.41</v>
      </c>
      <c r="K13" t="n">
        <v>1465.680053710938</v>
      </c>
      <c r="O13" t="n">
        <v>59.7599983215332</v>
      </c>
      <c r="P13" t="n">
        <v>55.65000152587891</v>
      </c>
      <c r="Q13" t="n">
        <v>50.15999984741211</v>
      </c>
      <c r="AA13" t="n">
        <v>267.1300048828125</v>
      </c>
      <c r="AB13" t="n">
        <v>31.04999923706055</v>
      </c>
      <c r="AC13" t="n">
        <v>83.58000183105469</v>
      </c>
      <c r="AD13" t="n">
        <v>166.5200042724609</v>
      </c>
      <c r="AE13" t="n">
        <v>227.4600067138672</v>
      </c>
      <c r="AF13" t="n">
        <v>77177.34375</v>
      </c>
      <c r="AG13" t="n">
        <v>2415.60009765625</v>
      </c>
    </row>
    <row r="14" ht="16" customHeight="1">
      <c r="A14" t="inlineStr">
        <is>
          <t>04/17/2026</t>
        </is>
      </c>
      <c r="B14" t="n">
        <v>110795</v>
      </c>
      <c r="C14" t="n">
        <v>1074935</v>
      </c>
      <c r="D14" t="n">
        <v>1064090</v>
      </c>
      <c r="E14" t="n">
        <v>100.5299987792969</v>
      </c>
      <c r="J14" t="n">
        <v>1483.7</v>
      </c>
      <c r="K14" t="n">
        <v>1483.2900390625</v>
      </c>
      <c r="L14" t="n">
        <v>31850</v>
      </c>
      <c r="M14" t="n">
        <v>10795</v>
      </c>
      <c r="N14" t="n">
        <v>10010</v>
      </c>
      <c r="O14" t="n">
        <v>59.52999877929688</v>
      </c>
      <c r="P14" t="n">
        <v>55.18999862670898</v>
      </c>
      <c r="Q14" t="n">
        <v>50.15000152587891</v>
      </c>
      <c r="R14" t="n">
        <v>13555</v>
      </c>
      <c r="S14" t="n">
        <v>19950</v>
      </c>
      <c r="T14" t="n">
        <v>26220</v>
      </c>
      <c r="U14" t="n">
        <v>53220</v>
      </c>
      <c r="V14" t="n">
        <v>23705</v>
      </c>
      <c r="W14" t="n">
        <v>25905</v>
      </c>
      <c r="X14" t="n">
        <v>14355</v>
      </c>
      <c r="Y14" t="n">
        <v>4330</v>
      </c>
      <c r="Z14" t="n">
        <v>12830</v>
      </c>
      <c r="AA14" t="n">
        <v>263.6900024414062</v>
      </c>
      <c r="AB14" t="n">
        <v>30.80999946594238</v>
      </c>
      <c r="AC14" t="n">
        <v>82.58000183105469</v>
      </c>
      <c r="AD14" t="n">
        <v>148.9400024414062</v>
      </c>
      <c r="AE14" t="n">
        <v>224.8800048828125</v>
      </c>
      <c r="AF14" t="n">
        <v>75100.4921875</v>
      </c>
      <c r="AG14" t="n">
        <v>2341.4599609375</v>
      </c>
    </row>
    <row r="15" ht="16" customHeight="1">
      <c r="A15" t="inlineStr">
        <is>
          <t>04/16/2026</t>
        </is>
      </c>
      <c r="B15" t="n">
        <v>110770</v>
      </c>
      <c r="C15" t="n">
        <v>1074855</v>
      </c>
      <c r="D15" t="n">
        <v>1063990</v>
      </c>
      <c r="E15" t="n">
        <v>100.5299987792969</v>
      </c>
      <c r="J15" t="n">
        <v>1472.77</v>
      </c>
      <c r="K15" t="n">
        <v>1472.180053710938</v>
      </c>
      <c r="L15" t="n">
        <v>31935</v>
      </c>
      <c r="M15" t="n">
        <v>10770</v>
      </c>
      <c r="N15" t="n">
        <v>10035</v>
      </c>
      <c r="O15" t="n">
        <v>59.59000015258789</v>
      </c>
      <c r="P15" t="n">
        <v>55.4900016784668</v>
      </c>
      <c r="Q15" t="n">
        <v>50.13999938964844</v>
      </c>
      <c r="R15" t="n">
        <v>13440</v>
      </c>
      <c r="S15" t="n">
        <v>19945</v>
      </c>
      <c r="T15" t="n">
        <v>26050</v>
      </c>
      <c r="U15" t="n">
        <v>53605</v>
      </c>
      <c r="V15" t="n">
        <v>23560</v>
      </c>
      <c r="W15" t="n">
        <v>25770</v>
      </c>
      <c r="X15" t="n">
        <v>14265</v>
      </c>
      <c r="Y15" t="n">
        <v>4275</v>
      </c>
      <c r="Z15" t="n">
        <v>12670</v>
      </c>
      <c r="AA15" t="n">
        <v>262.4800109863281</v>
      </c>
      <c r="AB15" t="n">
        <v>30.64999961853027</v>
      </c>
      <c r="AC15" t="n">
        <v>82.37999725341797</v>
      </c>
      <c r="AD15" t="n">
        <v>143.5399932861328</v>
      </c>
      <c r="AE15" t="n">
        <v>224.3699951171875</v>
      </c>
      <c r="AF15" t="n">
        <v>74986.6328125</v>
      </c>
      <c r="AG15" t="n">
        <v>2353.4599609375</v>
      </c>
    </row>
    <row r="16" ht="16" customHeight="1">
      <c r="A16" t="inlineStr">
        <is>
          <t>04/15/2026</t>
        </is>
      </c>
      <c r="B16" t="n">
        <v>110755</v>
      </c>
      <c r="C16" t="n">
        <v>1074610</v>
      </c>
      <c r="D16" t="n">
        <v>1063725</v>
      </c>
      <c r="E16" t="n">
        <v>100.5100021362305</v>
      </c>
      <c r="J16" t="n">
        <v>1475.21</v>
      </c>
      <c r="K16" t="n">
        <v>1474.280029296875</v>
      </c>
      <c r="L16" t="n">
        <v>31920</v>
      </c>
      <c r="M16" t="n">
        <v>10785</v>
      </c>
      <c r="N16" t="n">
        <v>10085</v>
      </c>
      <c r="O16" t="n">
        <v>59.65999984741211</v>
      </c>
      <c r="P16" t="n">
        <v>55.70999908447266</v>
      </c>
      <c r="Q16" t="n">
        <v>50.15999984741211</v>
      </c>
      <c r="R16" t="n">
        <v>13440</v>
      </c>
      <c r="S16" t="n">
        <v>19805</v>
      </c>
      <c r="T16" t="n">
        <v>25795</v>
      </c>
      <c r="U16" t="n">
        <v>52470</v>
      </c>
      <c r="V16" t="n">
        <v>23315</v>
      </c>
      <c r="W16" t="n">
        <v>25290</v>
      </c>
      <c r="X16" t="n">
        <v>14210</v>
      </c>
      <c r="Y16" t="n">
        <v>4200</v>
      </c>
      <c r="Z16" t="n">
        <v>12570</v>
      </c>
      <c r="AA16" t="n">
        <v>258.7799987792969</v>
      </c>
      <c r="AB16" t="n">
        <v>30.70999908447266</v>
      </c>
      <c r="AC16" t="n">
        <v>81.73999786376953</v>
      </c>
      <c r="AD16" t="n">
        <v>137.4100036621094</v>
      </c>
      <c r="AE16" t="n">
        <v>223.8699951171875</v>
      </c>
      <c r="AF16" t="n">
        <v>73896.6796875</v>
      </c>
      <c r="AG16" t="n">
        <v>2319.929931640625</v>
      </c>
    </row>
    <row r="17" ht="16" customHeight="1">
      <c r="A17" t="inlineStr">
        <is>
          <t>04/14/2026</t>
        </is>
      </c>
      <c r="B17" t="n">
        <v>110755</v>
      </c>
      <c r="C17" t="n">
        <v>1074525</v>
      </c>
      <c r="D17" t="n">
        <v>1063650</v>
      </c>
      <c r="E17" t="n">
        <v>100.5100021362305</v>
      </c>
      <c r="J17" t="n">
        <v>1476</v>
      </c>
      <c r="K17" t="n">
        <v>1475.97998046875</v>
      </c>
      <c r="L17" t="n">
        <v>31665</v>
      </c>
      <c r="M17" t="n">
        <v>10810</v>
      </c>
      <c r="N17" t="n">
        <v>10100</v>
      </c>
      <c r="O17" t="n">
        <v>59.52999877929688</v>
      </c>
      <c r="P17" t="n">
        <v>55.43000030517578</v>
      </c>
      <c r="Q17" t="n">
        <v>50.13000106811523</v>
      </c>
      <c r="R17" t="n">
        <v>13280</v>
      </c>
      <c r="S17" t="n">
        <v>19115</v>
      </c>
      <c r="T17" t="n">
        <v>25610</v>
      </c>
      <c r="U17" t="n">
        <v>51180</v>
      </c>
      <c r="V17" t="n">
        <v>23155</v>
      </c>
      <c r="W17" t="n">
        <v>25005</v>
      </c>
      <c r="X17" t="n">
        <v>14180</v>
      </c>
      <c r="Y17" t="n">
        <v>4195</v>
      </c>
      <c r="Z17" t="n">
        <v>12210</v>
      </c>
      <c r="AA17" t="n">
        <v>254.1699981689453</v>
      </c>
      <c r="AB17" t="n">
        <v>30.73999977111816</v>
      </c>
      <c r="AC17" t="n">
        <v>80.73999786376953</v>
      </c>
      <c r="AD17" t="n">
        <v>132.3600006103516</v>
      </c>
      <c r="AE17" t="n">
        <v>223.2599945068359</v>
      </c>
      <c r="AF17" t="n">
        <v>74630.171875</v>
      </c>
      <c r="AG17" t="n">
        <v>2381.699951171875</v>
      </c>
    </row>
    <row r="18" ht="16" customHeight="1">
      <c r="A18" t="inlineStr">
        <is>
          <t>04/13/2026</t>
        </is>
      </c>
      <c r="B18" t="n">
        <v>110740</v>
      </c>
      <c r="C18" t="n">
        <v>1074445</v>
      </c>
      <c r="D18" t="n">
        <v>1063575</v>
      </c>
      <c r="E18" t="n">
        <v>100.5</v>
      </c>
      <c r="J18" t="n">
        <v>1488.5</v>
      </c>
      <c r="K18" t="n">
        <v>1488.010009765625</v>
      </c>
      <c r="L18" t="n">
        <v>31605</v>
      </c>
      <c r="M18" t="n">
        <v>10830</v>
      </c>
      <c r="N18" t="n">
        <v>10070</v>
      </c>
      <c r="O18" t="n">
        <v>59.43000030517578</v>
      </c>
      <c r="P18" t="n">
        <v>55.2599983215332</v>
      </c>
      <c r="Q18" t="n">
        <v>50.04999923706055</v>
      </c>
      <c r="R18" t="n">
        <v>13250</v>
      </c>
      <c r="S18" t="n">
        <v>18925</v>
      </c>
      <c r="T18" t="n">
        <v>25340</v>
      </c>
      <c r="U18" t="n">
        <v>49700</v>
      </c>
      <c r="V18" t="n">
        <v>22905</v>
      </c>
      <c r="W18" t="n">
        <v>24675</v>
      </c>
      <c r="X18" t="n">
        <v>14130</v>
      </c>
      <c r="Y18" t="n">
        <v>4080</v>
      </c>
      <c r="Z18" t="n">
        <v>11945</v>
      </c>
      <c r="AA18" t="n">
        <v>251.6000061035156</v>
      </c>
      <c r="AB18" t="n">
        <v>30.55999946594238</v>
      </c>
      <c r="AC18" t="n">
        <v>79.95999908447266</v>
      </c>
      <c r="AD18" t="n">
        <v>128.6399993896484</v>
      </c>
      <c r="AE18" t="n">
        <v>221.4700012207031</v>
      </c>
      <c r="AF18" t="n">
        <v>70719.6015625</v>
      </c>
      <c r="AG18" t="n">
        <v>2184.36474609375</v>
      </c>
    </row>
    <row r="19" ht="16" customHeight="1">
      <c r="A19" t="inlineStr">
        <is>
          <t>04/12/2026</t>
        </is>
      </c>
      <c r="E19" t="n">
        <v>100.5</v>
      </c>
      <c r="J19" t="n">
        <v>1484.9</v>
      </c>
      <c r="K19" t="n">
        <v>1482.699951171875</v>
      </c>
      <c r="O19" t="n">
        <v>59.43000030517578</v>
      </c>
      <c r="P19" t="n">
        <v>55.2599983215332</v>
      </c>
      <c r="Q19" t="n">
        <v>50.04999923706055</v>
      </c>
      <c r="AA19" t="n">
        <v>251.6000061035156</v>
      </c>
      <c r="AB19" t="n">
        <v>30.55999946594238</v>
      </c>
      <c r="AC19" t="n">
        <v>79.95999908447266</v>
      </c>
      <c r="AD19" t="n">
        <v>128.6399993896484</v>
      </c>
      <c r="AE19" t="n">
        <v>221.4700012207031</v>
      </c>
      <c r="AF19" t="n">
        <v>71612.8359375</v>
      </c>
      <c r="AG19" t="n">
        <v>2213.97314453125</v>
      </c>
    </row>
    <row r="20" ht="16" customHeight="1">
      <c r="A20" t="inlineStr">
        <is>
          <t>04/11/2026</t>
        </is>
      </c>
      <c r="E20" t="n">
        <v>100.5</v>
      </c>
      <c r="J20" t="n">
        <v>1485.27</v>
      </c>
      <c r="K20" t="n">
        <v>1482.699951171875</v>
      </c>
      <c r="O20" t="n">
        <v>59.43000030517578</v>
      </c>
      <c r="P20" t="n">
        <v>55.2599983215332</v>
      </c>
      <c r="Q20" t="n">
        <v>50.04999923706055</v>
      </c>
      <c r="AA20" t="n">
        <v>251.6000061035156</v>
      </c>
      <c r="AB20" t="n">
        <v>30.55999946594238</v>
      </c>
      <c r="AC20" t="n">
        <v>79.95999908447266</v>
      </c>
      <c r="AD20" t="n">
        <v>128.6399993896484</v>
      </c>
      <c r="AE20" t="n">
        <v>221.4700012207031</v>
      </c>
      <c r="AF20" t="n">
        <v>72785.5078125</v>
      </c>
      <c r="AG20" t="n">
        <v>2235.5546875</v>
      </c>
    </row>
    <row r="21" ht="16" customHeight="1">
      <c r="A21" t="inlineStr">
        <is>
          <t>04/10/2026</t>
        </is>
      </c>
      <c r="B21" t="n">
        <v>110735</v>
      </c>
      <c r="C21" t="n">
        <v>1074365</v>
      </c>
      <c r="D21" t="n">
        <v>1063530</v>
      </c>
      <c r="E21" t="n">
        <v>100.4599990844727</v>
      </c>
      <c r="J21" t="n">
        <v>1484.2</v>
      </c>
      <c r="K21" t="n">
        <v>1483.390014648438</v>
      </c>
      <c r="L21" t="n">
        <v>31705</v>
      </c>
      <c r="M21" t="n">
        <v>10815</v>
      </c>
      <c r="N21" t="n">
        <v>10070</v>
      </c>
      <c r="O21" t="n">
        <v>59.5</v>
      </c>
      <c r="P21" t="n">
        <v>55.40000152587891</v>
      </c>
      <c r="Q21" t="n">
        <v>50.02999877929688</v>
      </c>
      <c r="R21" t="n">
        <v>13205</v>
      </c>
      <c r="S21" t="n">
        <v>18940</v>
      </c>
      <c r="T21" t="n">
        <v>25385</v>
      </c>
      <c r="U21" t="n">
        <v>50185</v>
      </c>
      <c r="V21" t="n">
        <v>22945</v>
      </c>
      <c r="W21" t="n">
        <v>24680</v>
      </c>
      <c r="X21" t="n">
        <v>14125</v>
      </c>
      <c r="Y21" t="n">
        <v>3965</v>
      </c>
      <c r="Z21" t="n">
        <v>11820</v>
      </c>
      <c r="AA21" t="n">
        <v>251.2299957275391</v>
      </c>
      <c r="AB21" t="n">
        <v>30.94000053405762</v>
      </c>
      <c r="AC21" t="n">
        <v>80.01999664306641</v>
      </c>
      <c r="AD21" t="n">
        <v>128.8600006103516</v>
      </c>
      <c r="AE21" t="n">
        <v>222.8200073242188</v>
      </c>
      <c r="AF21" t="n">
        <v>71779.5234375</v>
      </c>
      <c r="AG21" t="n">
        <v>2185.94091796875</v>
      </c>
    </row>
    <row r="22" ht="16" customHeight="1">
      <c r="A22" t="inlineStr">
        <is>
          <t>04/09/2026</t>
        </is>
      </c>
      <c r="B22" t="n">
        <v>110715</v>
      </c>
      <c r="C22" t="n">
        <v>1074280</v>
      </c>
      <c r="D22" t="n">
        <v>1063410</v>
      </c>
      <c r="J22" t="n">
        <v>1481.08</v>
      </c>
      <c r="K22" t="n">
        <v>1479.7900390625</v>
      </c>
      <c r="L22" t="n">
        <v>31450</v>
      </c>
      <c r="M22" t="n">
        <v>10815</v>
      </c>
      <c r="N22" t="n">
        <v>10090</v>
      </c>
      <c r="R22" t="n">
        <v>13090</v>
      </c>
      <c r="S22" t="n">
        <v>18815</v>
      </c>
      <c r="T22" t="n">
        <v>25200</v>
      </c>
      <c r="U22" t="n">
        <v>49415</v>
      </c>
      <c r="V22" t="n">
        <v>22790</v>
      </c>
      <c r="W22" t="n">
        <v>24490</v>
      </c>
      <c r="X22" t="n">
        <v>14040</v>
      </c>
      <c r="Y22" t="n">
        <v>3905</v>
      </c>
      <c r="Z22" t="n">
        <v>11470</v>
      </c>
      <c r="AF22" t="n">
        <v>71050.125</v>
      </c>
      <c r="AG22" t="n">
        <v>2184.881103515625</v>
      </c>
    </row>
    <row r="23" ht="16" customHeight="1">
      <c r="A23" t="inlineStr">
        <is>
          <t>04/08/2026</t>
        </is>
      </c>
      <c r="B23" t="n">
        <v>110705</v>
      </c>
      <c r="C23" t="n">
        <v>1074040</v>
      </c>
      <c r="D23" t="n">
        <v>1063175</v>
      </c>
      <c r="J23" t="n">
        <v>1476.08</v>
      </c>
      <c r="K23" t="n">
        <v>1476.680053710938</v>
      </c>
      <c r="L23" t="n">
        <v>31955</v>
      </c>
      <c r="M23" t="n">
        <v>10770</v>
      </c>
      <c r="N23" t="n">
        <v>10100</v>
      </c>
      <c r="R23" t="n">
        <v>12975</v>
      </c>
      <c r="S23" t="n">
        <v>19060</v>
      </c>
      <c r="T23" t="n">
        <v>25090</v>
      </c>
      <c r="U23" t="n">
        <v>50365</v>
      </c>
      <c r="V23" t="n">
        <v>22690</v>
      </c>
      <c r="W23" t="n">
        <v>24440</v>
      </c>
      <c r="X23" t="n">
        <v>14000</v>
      </c>
      <c r="Y23" t="n">
        <v>3930</v>
      </c>
      <c r="Z23" t="n">
        <v>11640</v>
      </c>
      <c r="AF23" t="n">
        <v>71686.4609375</v>
      </c>
      <c r="AG23" t="n">
        <v>2246.292724609375</v>
      </c>
    </row>
    <row r="24" ht="16" customHeight="1">
      <c r="A24" t="inlineStr">
        <is>
          <t>04/07/2026</t>
        </is>
      </c>
      <c r="B24" t="n">
        <v>110700</v>
      </c>
      <c r="C24" t="n">
        <v>1073955</v>
      </c>
      <c r="D24" t="n">
        <v>1063085</v>
      </c>
      <c r="E24" t="n">
        <v>100.4400024414062</v>
      </c>
      <c r="J24" t="n">
        <v>1504.88</v>
      </c>
      <c r="K24" t="n">
        <v>1503.780029296875</v>
      </c>
      <c r="L24" t="n">
        <v>31340</v>
      </c>
      <c r="M24" t="n">
        <v>10925</v>
      </c>
      <c r="N24" t="n">
        <v>10215</v>
      </c>
      <c r="O24" t="n">
        <v>59.27999877929688</v>
      </c>
      <c r="P24" t="n">
        <v>55.29999923706055</v>
      </c>
      <c r="Q24" t="n">
        <v>49.9900016784668</v>
      </c>
      <c r="R24" t="n">
        <v>12845</v>
      </c>
      <c r="S24" t="n">
        <v>18125</v>
      </c>
      <c r="T24" t="n">
        <v>24870</v>
      </c>
      <c r="U24" t="n">
        <v>46835</v>
      </c>
      <c r="V24" t="n">
        <v>22490</v>
      </c>
      <c r="W24" t="n">
        <v>24055</v>
      </c>
      <c r="X24" t="n">
        <v>14070</v>
      </c>
      <c r="Y24" t="n">
        <v>3865</v>
      </c>
      <c r="Z24" t="n">
        <v>11040</v>
      </c>
      <c r="AA24" t="n">
        <v>242.3200073242188</v>
      </c>
      <c r="AB24" t="n">
        <v>30.63999938964844</v>
      </c>
      <c r="AC24" t="n">
        <v>77.55999755859375</v>
      </c>
      <c r="AD24" t="n">
        <v>127.6900024414062</v>
      </c>
      <c r="AE24" t="n">
        <v>216.8200073242188</v>
      </c>
      <c r="AF24" t="n">
        <v>68491.7734375</v>
      </c>
      <c r="AG24" t="n">
        <v>2099.503173828125</v>
      </c>
    </row>
    <row r="25" ht="16" customHeight="1">
      <c r="A25" t="inlineStr">
        <is>
          <t>04/06/2026</t>
        </is>
      </c>
      <c r="B25" t="n">
        <v>110690</v>
      </c>
      <c r="C25" t="n">
        <v>1073875</v>
      </c>
      <c r="D25" t="n">
        <v>1063025</v>
      </c>
      <c r="E25" t="n">
        <v>100.4300003051758</v>
      </c>
      <c r="J25" t="n">
        <v>1504.55</v>
      </c>
      <c r="K25" t="n">
        <v>1505.300048828125</v>
      </c>
      <c r="L25" t="n">
        <v>31570</v>
      </c>
      <c r="M25" t="n">
        <v>10930</v>
      </c>
      <c r="N25" t="n">
        <v>10195</v>
      </c>
      <c r="O25" t="n">
        <v>59.38999938964844</v>
      </c>
      <c r="P25" t="n">
        <v>55.36999893188477</v>
      </c>
      <c r="Q25" t="n">
        <v>49.9900016784668</v>
      </c>
      <c r="R25" t="n">
        <v>12895</v>
      </c>
      <c r="S25" t="n">
        <v>18215</v>
      </c>
      <c r="T25" t="n">
        <v>24870</v>
      </c>
      <c r="U25" t="n">
        <v>46225</v>
      </c>
      <c r="V25" t="n">
        <v>22490</v>
      </c>
      <c r="W25" t="n">
        <v>24065</v>
      </c>
      <c r="X25" t="n">
        <v>14095</v>
      </c>
      <c r="Y25" t="n">
        <v>3905</v>
      </c>
      <c r="Z25" t="n">
        <v>11175</v>
      </c>
      <c r="AA25" t="n">
        <v>240.8600006103516</v>
      </c>
      <c r="AB25" t="n">
        <v>30.55999946594238</v>
      </c>
      <c r="AC25" t="n">
        <v>77.19000244140625</v>
      </c>
      <c r="AD25" t="n">
        <v>119.8300018310547</v>
      </c>
      <c r="AE25" t="n">
        <v>216.0200042724609</v>
      </c>
      <c r="AF25" t="n">
        <v>68833.6953125</v>
      </c>
      <c r="AG25" t="n">
        <v>2122.70703125</v>
      </c>
    </row>
    <row r="26" ht="16" customHeight="1">
      <c r="A26" t="inlineStr">
        <is>
          <t>04/05/2026</t>
        </is>
      </c>
      <c r="E26" t="n">
        <v>100.4300003051758</v>
      </c>
      <c r="J26" t="n">
        <v>1509.99</v>
      </c>
      <c r="K26" t="n">
        <v>1510.5400390625</v>
      </c>
      <c r="O26" t="n">
        <v>59.38999938964844</v>
      </c>
      <c r="P26" t="n">
        <v>55.36999893188477</v>
      </c>
      <c r="Q26" t="n">
        <v>49.9900016784668</v>
      </c>
      <c r="AA26" t="n">
        <v>240.8600006103516</v>
      </c>
      <c r="AB26" t="n">
        <v>30.55999946594238</v>
      </c>
      <c r="AC26" t="n">
        <v>77.19000244140625</v>
      </c>
      <c r="AD26" t="n">
        <v>119.8300018310547</v>
      </c>
      <c r="AE26" t="n">
        <v>216.0200042724609</v>
      </c>
      <c r="AF26" t="n">
        <v>66869.234375</v>
      </c>
      <c r="AG26" t="n">
        <v>2040.642700195312</v>
      </c>
    </row>
    <row r="27" ht="16" customHeight="1">
      <c r="A27" t="inlineStr">
        <is>
          <t>04/04/2026</t>
        </is>
      </c>
      <c r="E27" t="n">
        <v>100.4300003051758</v>
      </c>
      <c r="J27" t="n">
        <v>1509.96</v>
      </c>
      <c r="K27" t="n">
        <v>1514</v>
      </c>
      <c r="O27" t="n">
        <v>59.38999938964844</v>
      </c>
      <c r="P27" t="n">
        <v>55.36999893188477</v>
      </c>
      <c r="Q27" t="n">
        <v>49.9900016784668</v>
      </c>
      <c r="AA27" t="n">
        <v>240.8600006103516</v>
      </c>
      <c r="AB27" t="n">
        <v>30.55999946594238</v>
      </c>
      <c r="AC27" t="n">
        <v>77.19000244140625</v>
      </c>
      <c r="AD27" t="n">
        <v>119.8300018310547</v>
      </c>
      <c r="AE27" t="n">
        <v>216.0200042724609</v>
      </c>
      <c r="AF27" t="n">
        <v>66977.21875</v>
      </c>
      <c r="AG27" t="n">
        <v>2054.154052734375</v>
      </c>
    </row>
    <row r="28" ht="16" customHeight="1">
      <c r="A28" t="inlineStr">
        <is>
          <t>04/03/2026</t>
        </is>
      </c>
      <c r="B28" t="n">
        <v>110685</v>
      </c>
      <c r="C28" t="n">
        <v>1073795</v>
      </c>
      <c r="D28" t="n">
        <v>1062995</v>
      </c>
      <c r="E28" t="n">
        <v>100.4300003051758</v>
      </c>
      <c r="J28" t="n">
        <v>1506.73</v>
      </c>
      <c r="K28" t="n">
        <v>1507.010009765625</v>
      </c>
      <c r="L28" t="n">
        <v>31715</v>
      </c>
      <c r="M28" t="n">
        <v>10950</v>
      </c>
      <c r="N28" t="n">
        <v>10250</v>
      </c>
      <c r="O28" t="n">
        <v>59.38999938964844</v>
      </c>
      <c r="P28" t="n">
        <v>55.36999893188477</v>
      </c>
      <c r="Q28" t="n">
        <v>49.9900016784668</v>
      </c>
      <c r="R28" t="n">
        <v>12850</v>
      </c>
      <c r="S28" t="n">
        <v>18485</v>
      </c>
      <c r="T28" t="n">
        <v>24830</v>
      </c>
      <c r="U28" t="n">
        <v>45550</v>
      </c>
      <c r="V28" t="n">
        <v>22455</v>
      </c>
      <c r="W28" t="n">
        <v>23995</v>
      </c>
      <c r="X28" t="n">
        <v>14075</v>
      </c>
      <c r="Y28" t="n">
        <v>3970</v>
      </c>
      <c r="Z28" t="n">
        <v>11450</v>
      </c>
      <c r="AA28" t="n">
        <v>240.8600006103516</v>
      </c>
      <c r="AB28" t="n">
        <v>30.55999946594238</v>
      </c>
      <c r="AC28" t="n">
        <v>77.19000244140625</v>
      </c>
      <c r="AD28" t="n">
        <v>119.8300018310547</v>
      </c>
      <c r="AE28" t="n">
        <v>216.0200042724609</v>
      </c>
      <c r="AF28" t="n">
        <v>66814.046875</v>
      </c>
      <c r="AG28" t="n">
        <v>2064.588623046875</v>
      </c>
    </row>
    <row r="29" ht="16" customHeight="1">
      <c r="A29" t="inlineStr">
        <is>
          <t>04/02/2026</t>
        </is>
      </c>
      <c r="B29" t="n">
        <v>110660</v>
      </c>
      <c r="C29" t="n">
        <v>1073715</v>
      </c>
      <c r="D29" t="n">
        <v>1062855</v>
      </c>
      <c r="E29" t="n">
        <v>100.3899993896484</v>
      </c>
      <c r="J29" t="n">
        <v>1517.23</v>
      </c>
      <c r="K29" t="n">
        <v>1516.280029296875</v>
      </c>
      <c r="L29" t="n">
        <v>31115</v>
      </c>
      <c r="M29" t="n">
        <v>11000</v>
      </c>
      <c r="N29" t="n">
        <v>10235</v>
      </c>
      <c r="O29" t="n">
        <v>59.31000137329102</v>
      </c>
      <c r="P29" t="n">
        <v>55.09999847412109</v>
      </c>
      <c r="Q29" t="n">
        <v>49.86999893188477</v>
      </c>
      <c r="R29" t="n">
        <v>12720</v>
      </c>
      <c r="S29" t="n">
        <v>18500</v>
      </c>
      <c r="T29" t="n">
        <v>24760</v>
      </c>
      <c r="U29" t="n">
        <v>44295</v>
      </c>
      <c r="V29" t="n">
        <v>22365</v>
      </c>
      <c r="W29" t="n">
        <v>23835</v>
      </c>
      <c r="X29" t="n">
        <v>14085</v>
      </c>
      <c r="Y29" t="n">
        <v>3900</v>
      </c>
      <c r="Z29" t="n">
        <v>11500</v>
      </c>
      <c r="AA29" t="n">
        <v>240.5700073242188</v>
      </c>
      <c r="AB29" t="n">
        <v>30.51000022888184</v>
      </c>
      <c r="AC29" t="n">
        <v>77.12000274658203</v>
      </c>
      <c r="AD29" t="n">
        <v>122.7799987792969</v>
      </c>
      <c r="AE29" t="n">
        <v>215.6799926757812</v>
      </c>
      <c r="AF29" t="n">
        <v>66666.375</v>
      </c>
      <c r="AG29" t="n">
        <v>2049.279541015625</v>
      </c>
    </row>
    <row r="30" ht="16" customHeight="1">
      <c r="A30" t="inlineStr">
        <is>
          <t>04/01/2026</t>
        </is>
      </c>
      <c r="B30" t="n">
        <v>110645</v>
      </c>
      <c r="C30" t="n">
        <v>1073470</v>
      </c>
      <c r="D30" t="n">
        <v>1062580</v>
      </c>
      <c r="E30" t="n">
        <v>100.6600036621094</v>
      </c>
      <c r="J30" t="n">
        <v>1498.51</v>
      </c>
      <c r="K30" t="n">
        <v>1498.97998046875</v>
      </c>
      <c r="L30" t="n">
        <v>31835</v>
      </c>
      <c r="M30" t="n">
        <v>10955</v>
      </c>
      <c r="N30" t="n">
        <v>10255</v>
      </c>
      <c r="O30" t="n">
        <v>59.54999923706055</v>
      </c>
      <c r="P30" t="n">
        <v>55.36000061035156</v>
      </c>
      <c r="Q30" t="n">
        <v>49.95000076293945</v>
      </c>
      <c r="R30" t="n">
        <v>12620</v>
      </c>
      <c r="S30" t="n">
        <v>19615</v>
      </c>
      <c r="T30" t="n">
        <v>24760</v>
      </c>
      <c r="U30" t="n">
        <v>46485</v>
      </c>
      <c r="V30" t="n">
        <v>22390</v>
      </c>
      <c r="W30" t="n">
        <v>23895</v>
      </c>
      <c r="X30" t="n">
        <v>14040</v>
      </c>
      <c r="Y30" t="n">
        <v>4040</v>
      </c>
      <c r="Z30" t="n">
        <v>12330</v>
      </c>
      <c r="AA30" t="n">
        <v>237.6199951171875</v>
      </c>
      <c r="AB30" t="n">
        <v>30.68000030517578</v>
      </c>
      <c r="AC30" t="n">
        <v>76.54000091552734</v>
      </c>
      <c r="AD30" t="n">
        <v>124.8000030517578</v>
      </c>
      <c r="AE30" t="n">
        <v>215.0599975585938</v>
      </c>
      <c r="AF30" t="n">
        <v>69139.34375</v>
      </c>
      <c r="AG30" t="n">
        <v>2153.333740234375</v>
      </c>
    </row>
    <row r="31" ht="16" customHeight="1">
      <c r="A31" t="inlineStr">
        <is>
          <t>03/31/2026</t>
        </is>
      </c>
      <c r="B31" t="n">
        <v>110640</v>
      </c>
      <c r="C31" t="n">
        <v>1073390</v>
      </c>
      <c r="D31" t="n">
        <v>1062510</v>
      </c>
      <c r="E31" t="n">
        <v>100.6600036621094</v>
      </c>
      <c r="J31" t="n">
        <v>1527.52</v>
      </c>
      <c r="K31" t="n">
        <v>1528.839965820312</v>
      </c>
      <c r="L31" t="n">
        <v>31540</v>
      </c>
      <c r="M31" t="n">
        <v>11130</v>
      </c>
      <c r="N31" t="n">
        <v>10415</v>
      </c>
      <c r="O31" t="n">
        <v>59.43000030517578</v>
      </c>
      <c r="P31" t="n">
        <v>55.36999893188477</v>
      </c>
      <c r="Q31" t="n">
        <v>49.93999862670898</v>
      </c>
      <c r="R31" t="n">
        <v>12455</v>
      </c>
      <c r="S31" t="n">
        <v>18585</v>
      </c>
      <c r="T31" t="n">
        <v>24575</v>
      </c>
      <c r="U31" t="n">
        <v>42580</v>
      </c>
      <c r="V31" t="n">
        <v>22215</v>
      </c>
      <c r="W31" t="n">
        <v>23515</v>
      </c>
      <c r="X31" t="n">
        <v>14110</v>
      </c>
      <c r="Y31" t="n">
        <v>3935</v>
      </c>
      <c r="Z31" t="n">
        <v>11190</v>
      </c>
      <c r="AA31" t="n">
        <v>229.8699951171875</v>
      </c>
      <c r="AB31" t="n">
        <v>30.47999954223633</v>
      </c>
      <c r="AC31" t="n">
        <v>74.37999725341797</v>
      </c>
      <c r="AD31" t="n">
        <v>121.4400024414062</v>
      </c>
      <c r="AE31" t="n">
        <v>210.6999969482422</v>
      </c>
      <c r="AF31" t="n">
        <v>67382.8515625</v>
      </c>
      <c r="AG31" t="n">
        <v>2058.161376953125</v>
      </c>
    </row>
    <row r="32" ht="16" customHeight="1">
      <c r="A32" t="inlineStr">
        <is>
          <t>03/30/2026</t>
        </is>
      </c>
      <c r="B32" t="n">
        <v>110640</v>
      </c>
      <c r="C32" t="n">
        <v>1073305</v>
      </c>
      <c r="D32" t="n">
        <v>1062455</v>
      </c>
      <c r="E32" t="n">
        <v>100.6500015258789</v>
      </c>
      <c r="J32" t="n">
        <v>1517.62</v>
      </c>
      <c r="K32" t="n">
        <v>1518.390014648438</v>
      </c>
      <c r="L32" t="n">
        <v>30965</v>
      </c>
      <c r="M32" t="n">
        <v>10960</v>
      </c>
      <c r="N32" t="n">
        <v>10240</v>
      </c>
      <c r="O32" t="n">
        <v>59.16999816894531</v>
      </c>
      <c r="P32" t="n">
        <v>54.70000076293945</v>
      </c>
      <c r="Q32" t="n">
        <v>49.79999923706055</v>
      </c>
      <c r="R32" t="n">
        <v>12440</v>
      </c>
      <c r="S32" t="n">
        <v>19645</v>
      </c>
      <c r="T32" t="n">
        <v>24275</v>
      </c>
      <c r="U32" t="n">
        <v>44530</v>
      </c>
      <c r="V32" t="n">
        <v>21945</v>
      </c>
      <c r="W32" t="n">
        <v>23335</v>
      </c>
      <c r="X32" t="n">
        <v>13920</v>
      </c>
      <c r="Y32" t="n">
        <v>4020</v>
      </c>
      <c r="Z32" t="n">
        <v>11840</v>
      </c>
      <c r="AA32" t="n">
        <v>231.6100006103516</v>
      </c>
      <c r="AB32" t="n">
        <v>30.44000053405762</v>
      </c>
      <c r="AC32" t="n">
        <v>74.63999938964844</v>
      </c>
      <c r="AD32" t="n">
        <v>126.0299987792969</v>
      </c>
      <c r="AE32" t="n">
        <v>210.7299957275391</v>
      </c>
      <c r="AF32" t="n">
        <v>67344.125</v>
      </c>
      <c r="AG32" t="n">
        <v>2046.714721679688</v>
      </c>
    </row>
    <row r="33" ht="16" customHeight="1">
      <c r="A33" t="inlineStr">
        <is>
          <t>03/29/2026</t>
        </is>
      </c>
      <c r="E33" t="n">
        <v>100.6500015258789</v>
      </c>
      <c r="J33" t="n">
        <v>1506.83</v>
      </c>
      <c r="K33" t="n">
        <v>1508.359985351562</v>
      </c>
      <c r="O33" t="n">
        <v>59.16999816894531</v>
      </c>
      <c r="P33" t="n">
        <v>54.70000076293945</v>
      </c>
      <c r="Q33" t="n">
        <v>49.79999923706055</v>
      </c>
      <c r="AA33" t="n">
        <v>231.6100006103516</v>
      </c>
      <c r="AB33" t="n">
        <v>30.44000053405762</v>
      </c>
      <c r="AC33" t="n">
        <v>74.63999938964844</v>
      </c>
      <c r="AD33" t="n">
        <v>126.0299987792969</v>
      </c>
      <c r="AE33" t="n">
        <v>210.7299957275391</v>
      </c>
      <c r="AF33" t="n">
        <v>66516.578125</v>
      </c>
      <c r="AG33" t="n">
        <v>1998.992553710938</v>
      </c>
    </row>
    <row r="34" ht="16" customHeight="1">
      <c r="A34" t="inlineStr">
        <is>
          <t>03/28/2026</t>
        </is>
      </c>
      <c r="E34" t="n">
        <v>100.6500015258789</v>
      </c>
      <c r="J34" t="n">
        <v>1506.96</v>
      </c>
      <c r="K34" t="n">
        <v>1508.359985351562</v>
      </c>
      <c r="O34" t="n">
        <v>59.16999816894531</v>
      </c>
      <c r="P34" t="n">
        <v>54.70000076293945</v>
      </c>
      <c r="Q34" t="n">
        <v>49.79999923706055</v>
      </c>
      <c r="AA34" t="n">
        <v>231.6100006103516</v>
      </c>
      <c r="AB34" t="n">
        <v>30.44000053405762</v>
      </c>
      <c r="AC34" t="n">
        <v>74.63999938964844</v>
      </c>
      <c r="AD34" t="n">
        <v>126.0299987792969</v>
      </c>
      <c r="AE34" t="n">
        <v>210.7299957275391</v>
      </c>
      <c r="AF34" t="n">
        <v>66369.765625</v>
      </c>
      <c r="AG34" t="n">
        <v>2000.592651367188</v>
      </c>
    </row>
    <row r="35" ht="16" customHeight="1">
      <c r="A35" t="inlineStr">
        <is>
          <t>03/27/2026</t>
        </is>
      </c>
      <c r="B35" t="n">
        <v>110850</v>
      </c>
      <c r="C35" t="n">
        <v>1075530</v>
      </c>
      <c r="D35" t="n">
        <v>1062395</v>
      </c>
      <c r="E35" t="n">
        <v>100.620002746582</v>
      </c>
      <c r="J35" t="n">
        <v>1504.08</v>
      </c>
      <c r="K35" t="n">
        <v>1504.760009765625</v>
      </c>
      <c r="L35" t="n">
        <v>30325</v>
      </c>
      <c r="M35" t="n">
        <v>10925</v>
      </c>
      <c r="N35" t="n">
        <v>10215</v>
      </c>
      <c r="O35" t="n">
        <v>59.09000015258789</v>
      </c>
      <c r="P35" t="n">
        <v>54.93999862670898</v>
      </c>
      <c r="Q35" t="n">
        <v>49.72999954223633</v>
      </c>
      <c r="R35" t="n">
        <v>12635</v>
      </c>
      <c r="S35" t="n">
        <v>20265</v>
      </c>
      <c r="T35" t="n">
        <v>24680</v>
      </c>
      <c r="U35" t="n">
        <v>45930</v>
      </c>
      <c r="V35" t="n">
        <v>22320</v>
      </c>
      <c r="W35" t="n">
        <v>23795</v>
      </c>
      <c r="X35" t="n">
        <v>13990</v>
      </c>
      <c r="Y35" t="n">
        <v>4055</v>
      </c>
      <c r="Z35" t="n">
        <v>12380</v>
      </c>
      <c r="AA35" t="n">
        <v>236.2100067138672</v>
      </c>
      <c r="AB35" t="n">
        <v>30.6200008392334</v>
      </c>
      <c r="AC35" t="n">
        <v>75.91999816894531</v>
      </c>
      <c r="AD35" t="n">
        <v>132.9299926757812</v>
      </c>
      <c r="AE35" t="n">
        <v>214.2200012207031</v>
      </c>
      <c r="AF35" t="n">
        <v>68611.5625</v>
      </c>
      <c r="AG35" t="n">
        <v>2060.5498046875</v>
      </c>
    </row>
    <row r="36" ht="16" customHeight="1">
      <c r="A36" t="inlineStr">
        <is>
          <t>03/26/2026</t>
        </is>
      </c>
      <c r="B36" t="n">
        <v>110825</v>
      </c>
      <c r="C36" t="n">
        <v>1075445</v>
      </c>
      <c r="D36" t="n">
        <v>1062280</v>
      </c>
      <c r="E36" t="n">
        <v>100.6100006103516</v>
      </c>
      <c r="J36" t="n">
        <v>1503.64</v>
      </c>
      <c r="K36" t="n">
        <v>1503.890014648438</v>
      </c>
      <c r="L36" t="n">
        <v>30100</v>
      </c>
      <c r="M36" t="n">
        <v>10940</v>
      </c>
      <c r="N36" t="n">
        <v>10225</v>
      </c>
      <c r="O36" t="n">
        <v>59.43000030517578</v>
      </c>
      <c r="P36" t="n">
        <v>55.38999938964844</v>
      </c>
      <c r="Q36" t="n">
        <v>49.77999877929688</v>
      </c>
      <c r="R36" t="n">
        <v>12625</v>
      </c>
      <c r="S36" t="n">
        <v>20080</v>
      </c>
      <c r="T36" t="n">
        <v>24850</v>
      </c>
      <c r="U36" t="n">
        <v>46160</v>
      </c>
      <c r="V36" t="n">
        <v>22460</v>
      </c>
      <c r="W36" t="n">
        <v>24090</v>
      </c>
      <c r="X36" t="n">
        <v>14080</v>
      </c>
      <c r="Y36" t="n">
        <v>3990</v>
      </c>
      <c r="Z36" t="n">
        <v>12430</v>
      </c>
      <c r="AA36" t="n">
        <v>241.9799957275391</v>
      </c>
      <c r="AB36" t="n">
        <v>30.54000091552734</v>
      </c>
      <c r="AC36" t="n">
        <v>77.30000305175781</v>
      </c>
      <c r="AD36" t="n">
        <v>139.1300048828125</v>
      </c>
      <c r="AE36" t="n">
        <v>216.1900024414062</v>
      </c>
      <c r="AF36" t="n">
        <v>70007.2421875</v>
      </c>
      <c r="AG36" t="n">
        <v>2120.075927734375</v>
      </c>
    </row>
    <row r="37" ht="16" customHeight="1">
      <c r="A37" t="inlineStr">
        <is>
          <t>03/25/2026</t>
        </is>
      </c>
      <c r="B37" t="n">
        <v>110815</v>
      </c>
      <c r="C37" t="n">
        <v>1075200</v>
      </c>
      <c r="D37" t="n">
        <v>1062030</v>
      </c>
      <c r="E37" t="n">
        <v>100.6100006103516</v>
      </c>
      <c r="J37" t="n">
        <v>1498.2</v>
      </c>
      <c r="K37" t="n">
        <v>1498.420043945312</v>
      </c>
      <c r="L37" t="n">
        <v>30815</v>
      </c>
      <c r="M37" t="n">
        <v>10895</v>
      </c>
      <c r="N37" t="n">
        <v>10195</v>
      </c>
      <c r="O37" t="n">
        <v>59.2400016784668</v>
      </c>
      <c r="P37" t="n">
        <v>54.90000152587891</v>
      </c>
      <c r="Q37" t="n">
        <v>49.77000045776367</v>
      </c>
      <c r="R37" t="n">
        <v>12640</v>
      </c>
      <c r="S37" t="n">
        <v>20525</v>
      </c>
      <c r="T37" t="n">
        <v>24805</v>
      </c>
      <c r="U37" t="n">
        <v>47810</v>
      </c>
      <c r="V37" t="n">
        <v>22425</v>
      </c>
      <c r="W37" t="n">
        <v>24035</v>
      </c>
      <c r="X37" t="n">
        <v>14035</v>
      </c>
      <c r="Y37" t="n">
        <v>4030</v>
      </c>
      <c r="Z37" t="n">
        <v>12740</v>
      </c>
      <c r="AA37" t="n">
        <v>240.4199981689453</v>
      </c>
      <c r="AB37" t="n">
        <v>30.63999938964844</v>
      </c>
      <c r="AC37" t="n">
        <v>76.87000274658203</v>
      </c>
      <c r="AD37" t="n">
        <v>136.25</v>
      </c>
      <c r="AE37" t="n">
        <v>215.25</v>
      </c>
      <c r="AF37" t="n">
        <v>71017.0078125</v>
      </c>
      <c r="AG37" t="n">
        <v>2165.857666015625</v>
      </c>
    </row>
    <row r="38" ht="16" customHeight="1">
      <c r="A38" t="inlineStr">
        <is>
          <t>03/24/2026</t>
        </is>
      </c>
      <c r="B38" t="n">
        <v>110810</v>
      </c>
      <c r="C38" t="n">
        <v>1075115</v>
      </c>
      <c r="D38" t="n">
        <v>1061940</v>
      </c>
      <c r="E38" t="n">
        <v>100.5800018310547</v>
      </c>
      <c r="J38" t="n">
        <v>1495.29</v>
      </c>
      <c r="K38" t="n">
        <v>1495.760009765625</v>
      </c>
      <c r="L38" t="n">
        <v>29520</v>
      </c>
      <c r="M38" t="n">
        <v>10845</v>
      </c>
      <c r="N38" t="n">
        <v>10130</v>
      </c>
      <c r="O38" t="n">
        <v>59.40999984741211</v>
      </c>
      <c r="P38" t="n">
        <v>55.11999893188477</v>
      </c>
      <c r="Q38" t="n">
        <v>49.81999969482422</v>
      </c>
      <c r="R38" t="n">
        <v>12660</v>
      </c>
      <c r="S38" t="n">
        <v>19825</v>
      </c>
      <c r="T38" t="n">
        <v>24625</v>
      </c>
      <c r="U38" t="n">
        <v>47215</v>
      </c>
      <c r="V38" t="n">
        <v>22270</v>
      </c>
      <c r="W38" t="n">
        <v>23945</v>
      </c>
      <c r="X38" t="n">
        <v>13960</v>
      </c>
      <c r="Y38" t="n">
        <v>4000</v>
      </c>
      <c r="Z38" t="n">
        <v>12380</v>
      </c>
      <c r="AA38" t="n">
        <v>242.0700073242188</v>
      </c>
      <c r="AB38" t="n">
        <v>30.54000091552734</v>
      </c>
      <c r="AC38" t="n">
        <v>77.12999725341797</v>
      </c>
      <c r="AD38" t="n">
        <v>138.1999969482422</v>
      </c>
      <c r="AE38" t="n">
        <v>214.9400024414062</v>
      </c>
      <c r="AF38" t="n">
        <v>71024.859375</v>
      </c>
      <c r="AG38" t="n">
        <v>2159.72998046875</v>
      </c>
    </row>
    <row r="39" ht="16" customHeight="1">
      <c r="A39" t="inlineStr">
        <is>
          <t>03/23/2026</t>
        </is>
      </c>
      <c r="B39" t="n">
        <v>110795</v>
      </c>
      <c r="C39" t="n">
        <v>1075030</v>
      </c>
      <c r="D39" t="n">
        <v>1061875</v>
      </c>
      <c r="E39" t="n">
        <v>100.5800018310547</v>
      </c>
      <c r="J39" t="n">
        <v>1510.16</v>
      </c>
      <c r="K39" t="n">
        <v>1510.380004882812</v>
      </c>
      <c r="L39" t="n">
        <v>29265</v>
      </c>
      <c r="M39" t="n">
        <v>10955</v>
      </c>
      <c r="N39" t="n">
        <v>10200</v>
      </c>
      <c r="O39" t="n">
        <v>59.27000045776367</v>
      </c>
      <c r="P39" t="n">
        <v>54.77999877929688</v>
      </c>
      <c r="Q39" t="n">
        <v>49.91999816894531</v>
      </c>
      <c r="R39" t="n">
        <v>12595</v>
      </c>
      <c r="S39" t="n">
        <v>19450</v>
      </c>
      <c r="T39" t="n">
        <v>24625</v>
      </c>
      <c r="U39" t="n">
        <v>45830</v>
      </c>
      <c r="V39" t="n">
        <v>22260</v>
      </c>
      <c r="W39" t="n">
        <v>23890</v>
      </c>
      <c r="X39" t="n">
        <v>14000</v>
      </c>
      <c r="Y39" t="n">
        <v>3900</v>
      </c>
      <c r="Z39" t="n">
        <v>12080</v>
      </c>
      <c r="AA39" t="n">
        <v>239.6399993896484</v>
      </c>
      <c r="AB39" t="n">
        <v>30.38999938964844</v>
      </c>
      <c r="AC39" t="n">
        <v>76.33000183105469</v>
      </c>
      <c r="AD39" t="n">
        <v>135.6600036621094</v>
      </c>
      <c r="AE39" t="n">
        <v>212.9600067138672</v>
      </c>
      <c r="AF39" t="n">
        <v>68516.546875</v>
      </c>
      <c r="AG39" t="n">
        <v>2052.40869140625</v>
      </c>
    </row>
    <row r="40" ht="16" customHeight="1">
      <c r="A40" t="inlineStr">
        <is>
          <t>03/22/2026</t>
        </is>
      </c>
      <c r="E40" t="n">
        <v>100.5800018310547</v>
      </c>
      <c r="J40" t="n">
        <v>1504.96</v>
      </c>
      <c r="K40" t="n">
        <v>1504.829956054688</v>
      </c>
      <c r="O40" t="n">
        <v>59.27000045776367</v>
      </c>
      <c r="P40" t="n">
        <v>54.77999877929688</v>
      </c>
      <c r="Q40" t="n">
        <v>49.91999816894531</v>
      </c>
      <c r="AA40" t="n">
        <v>239.6399993896484</v>
      </c>
      <c r="AB40" t="n">
        <v>30.38999938964844</v>
      </c>
      <c r="AC40" t="n">
        <v>76.33000183105469</v>
      </c>
      <c r="AD40" t="n">
        <v>135.6600036621094</v>
      </c>
      <c r="AE40" t="n">
        <v>212.9600067138672</v>
      </c>
      <c r="AF40" t="n">
        <v>68955.3046875</v>
      </c>
      <c r="AG40" t="n">
        <v>2097.78369140625</v>
      </c>
    </row>
    <row r="41" ht="16" customHeight="1">
      <c r="A41" t="inlineStr">
        <is>
          <t>03/21/2026</t>
        </is>
      </c>
      <c r="E41" t="n">
        <v>100.5800018310547</v>
      </c>
      <c r="J41" t="n">
        <v>1505.23</v>
      </c>
      <c r="K41" t="n">
        <v>1504.829956054688</v>
      </c>
      <c r="O41" t="n">
        <v>59.27000045776367</v>
      </c>
      <c r="P41" t="n">
        <v>54.77999877929688</v>
      </c>
      <c r="Q41" t="n">
        <v>49.91999816894531</v>
      </c>
      <c r="AA41" t="n">
        <v>239.6399993896484</v>
      </c>
      <c r="AB41" t="n">
        <v>30.38999938964844</v>
      </c>
      <c r="AC41" t="n">
        <v>76.33000183105469</v>
      </c>
      <c r="AD41" t="n">
        <v>135.6600036621094</v>
      </c>
      <c r="AE41" t="n">
        <v>212.9600067138672</v>
      </c>
      <c r="AF41" t="n">
        <v>70704.5</v>
      </c>
      <c r="AG41" t="n">
        <v>2155.11767578125</v>
      </c>
    </row>
    <row r="42" ht="16" customHeight="1">
      <c r="A42" t="inlineStr">
        <is>
          <t>03/20/2026</t>
        </is>
      </c>
      <c r="B42" t="n">
        <v>110795</v>
      </c>
      <c r="C42" t="n">
        <v>1074950</v>
      </c>
      <c r="D42" t="n">
        <v>1061815</v>
      </c>
      <c r="E42" t="n">
        <v>100.5500030517578</v>
      </c>
      <c r="J42" t="n">
        <v>1498.15</v>
      </c>
      <c r="K42" t="n">
        <v>1498.030029296875</v>
      </c>
      <c r="L42" t="n">
        <v>31670</v>
      </c>
      <c r="M42" t="n">
        <v>10960</v>
      </c>
      <c r="N42" t="n">
        <v>10295</v>
      </c>
      <c r="O42" t="n">
        <v>59.61999893188477</v>
      </c>
      <c r="P42" t="n">
        <v>55.81999969482422</v>
      </c>
      <c r="Q42" t="n">
        <v>49.9900016784668</v>
      </c>
      <c r="R42" t="n">
        <v>13030</v>
      </c>
      <c r="S42" t="n">
        <v>20525</v>
      </c>
      <c r="T42" t="n">
        <v>24885</v>
      </c>
      <c r="U42" t="n">
        <v>48995</v>
      </c>
      <c r="V42" t="n">
        <v>22505</v>
      </c>
      <c r="W42" t="n">
        <v>24255</v>
      </c>
      <c r="X42" t="n">
        <v>14065</v>
      </c>
      <c r="Y42" t="n">
        <v>3995</v>
      </c>
      <c r="Z42" t="n">
        <v>12910</v>
      </c>
      <c r="AA42" t="n">
        <v>244.1999969482422</v>
      </c>
      <c r="AB42" t="n">
        <v>30.59000015258789</v>
      </c>
      <c r="AC42" t="n">
        <v>77.44000244140625</v>
      </c>
      <c r="AD42" t="n">
        <v>138.2400054931641</v>
      </c>
      <c r="AE42" t="n">
        <v>215.0700073242188</v>
      </c>
      <c r="AF42" t="n">
        <v>70947.921875</v>
      </c>
      <c r="AG42" t="n">
        <v>2157.989501953125</v>
      </c>
    </row>
    <row r="43" ht="16" customHeight="1">
      <c r="A43" s="39" t="inlineStr">
        <is>
          <t>03/19/2026</t>
        </is>
      </c>
      <c r="Z43" t="n">
        <v>12630</v>
      </c>
    </row>
    <row r="44" ht="16" customHeight="1">
      <c r="A44" s="39" t="inlineStr">
        <is>
          <t>03/18/2026</t>
        </is>
      </c>
      <c r="Z44" t="n">
        <v>12990</v>
      </c>
    </row>
    <row r="45" ht="16" customHeight="1">
      <c r="A45" s="2" t="inlineStr">
        <is>
          <t>03/17/2026</t>
        </is>
      </c>
      <c r="B45" s="2" t="n">
        <v>110755</v>
      </c>
      <c r="C45" s="2" t="n">
        <v>1074535</v>
      </c>
      <c r="D45" s="2" t="n">
        <v>1061370</v>
      </c>
      <c r="E45" s="2" t="n">
        <v>100.5199966430664</v>
      </c>
      <c r="F45" s="2" t="n"/>
      <c r="G45" s="2" t="n"/>
      <c r="H45" s="2" t="n"/>
      <c r="I45" s="2" t="n"/>
      <c r="J45" s="2" t="n">
        <v>1493.43</v>
      </c>
      <c r="K45" s="2" t="n">
        <v>1492.380004882812</v>
      </c>
      <c r="L45" s="2" t="n">
        <v>33295</v>
      </c>
      <c r="M45" s="2" t="n">
        <v>10910</v>
      </c>
      <c r="N45" s="2" t="n">
        <v>10165</v>
      </c>
      <c r="O45" s="2" t="n">
        <v>59.79999923706055</v>
      </c>
      <c r="P45" s="2" t="n">
        <v>55.70000076293945</v>
      </c>
      <c r="Q45" s="2" t="n">
        <v>49.97999954223633</v>
      </c>
      <c r="R45" s="2" t="n">
        <v>13115</v>
      </c>
      <c r="S45" s="2" t="n">
        <v>20090</v>
      </c>
      <c r="T45" s="2" t="n">
        <v>24980</v>
      </c>
      <c r="U45" s="2" t="n">
        <v>47880</v>
      </c>
      <c r="V45" s="2" t="n">
        <v>22590</v>
      </c>
      <c r="W45" s="2" t="n">
        <v>24325</v>
      </c>
      <c r="X45" s="2" t="n">
        <v>14050</v>
      </c>
      <c r="Y45" s="2" t="n">
        <v>3960</v>
      </c>
      <c r="Z45" t="n">
        <v>12900</v>
      </c>
      <c r="AA45" s="2" t="n">
        <v>247.1699981689453</v>
      </c>
      <c r="AB45" s="2" t="n">
        <v>30.8700008392334</v>
      </c>
      <c r="AC45" s="2" t="n">
        <v>78.51999664306641</v>
      </c>
      <c r="AD45" s="2" t="n">
        <v>147.5200042724609</v>
      </c>
      <c r="AE45" s="2" t="n">
        <v>219.2400054931641</v>
      </c>
      <c r="AF45" s="2" t="n">
        <v>74185.203125</v>
      </c>
      <c r="AG45" s="2" t="n">
        <v>2317.688232421875</v>
      </c>
    </row>
    <row r="46" ht="16" customHeight="1">
      <c r="A46" s="2" t="inlineStr">
        <is>
          <t>03/16/2026</t>
        </is>
      </c>
      <c r="B46" s="2" t="n">
        <v>110745</v>
      </c>
      <c r="C46" s="2" t="n">
        <v>1074455</v>
      </c>
      <c r="D46" s="2" t="n">
        <v>1061305</v>
      </c>
      <c r="E46" s="2" t="n">
        <v>100.53</v>
      </c>
      <c r="F46" s="2" t="n">
        <v>78.16</v>
      </c>
      <c r="G46" s="2" t="n">
        <v>99.83</v>
      </c>
      <c r="H46" s="2" t="n">
        <v>75.79000000000001</v>
      </c>
      <c r="I46" s="2" t="n">
        <v>100.23</v>
      </c>
      <c r="J46" s="2" t="n">
        <v>1469</v>
      </c>
      <c r="K46" s="2" t="n">
        <v>1490.41</v>
      </c>
      <c r="L46" s="2" t="n">
        <v>33500</v>
      </c>
      <c r="M46" s="2" t="n">
        <v>10930</v>
      </c>
      <c r="N46" s="2" t="n">
        <v>10190</v>
      </c>
      <c r="O46" s="2" t="n">
        <v>59.8</v>
      </c>
      <c r="P46" s="2" t="n">
        <v>55.7</v>
      </c>
      <c r="Q46" s="2" t="n">
        <v>49.98</v>
      </c>
      <c r="R46" s="2" t="n">
        <v>13000</v>
      </c>
      <c r="S46" s="2" t="n">
        <v>20070</v>
      </c>
      <c r="T46" s="2" t="n">
        <v>25055</v>
      </c>
      <c r="U46" s="2" t="n">
        <v>46905</v>
      </c>
      <c r="V46" s="2" t="n">
        <v>22650</v>
      </c>
      <c r="W46" s="2" t="n">
        <v>24380</v>
      </c>
      <c r="X46" s="2" t="n">
        <v>14090</v>
      </c>
      <c r="Y46" s="2" t="n">
        <v>3990</v>
      </c>
      <c r="Z46" t="n">
        <v>13355</v>
      </c>
      <c r="AA46" s="2" t="n">
        <v>247.19</v>
      </c>
      <c r="AB46" s="2" t="n">
        <v>30.86</v>
      </c>
      <c r="AC46" s="2" t="n">
        <v>78.52</v>
      </c>
      <c r="AD46" s="2" t="n">
        <v>147.53</v>
      </c>
      <c r="AE46" s="2" t="n">
        <v>219.24</v>
      </c>
      <c r="AF46" s="2" t="n">
        <v>74864.10000000001</v>
      </c>
      <c r="AG46" s="2" t="n">
        <v>2351.41</v>
      </c>
    </row>
    <row r="47" ht="16" customHeight="1">
      <c r="A47" s="2" t="inlineStr">
        <is>
          <t>03/15/2026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>
        <v>1469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AA47" s="2" t="n"/>
      <c r="AB47" s="2" t="n"/>
      <c r="AC47" s="2" t="n"/>
      <c r="AD47" s="2" t="n"/>
      <c r="AE47" s="2" t="n"/>
      <c r="AF47" s="2" t="n">
        <v>72816</v>
      </c>
      <c r="AG47" s="2" t="n">
        <v>2178.61</v>
      </c>
    </row>
    <row r="48" ht="16" customHeight="1">
      <c r="A48" s="2" t="inlineStr">
        <is>
          <t>03/14/2026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>
        <v>1476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AA48" s="2" t="n"/>
      <c r="AB48" s="2" t="n"/>
      <c r="AC48" s="2" t="n"/>
      <c r="AD48" s="2" t="n"/>
      <c r="AE48" s="2" t="n"/>
      <c r="AF48" s="2" t="n">
        <v>71203.10000000001</v>
      </c>
      <c r="AG48" s="2" t="n">
        <v>2096</v>
      </c>
    </row>
    <row r="49" ht="16" customHeight="1">
      <c r="A49" s="2" t="inlineStr">
        <is>
          <t>03/13/2026</t>
        </is>
      </c>
      <c r="B49" s="2" t="n">
        <v>110740</v>
      </c>
      <c r="C49" s="2" t="n">
        <v>1074375</v>
      </c>
      <c r="D49" s="2" t="n">
        <v>1061250</v>
      </c>
      <c r="E49" s="2" t="n">
        <v>100.52</v>
      </c>
      <c r="F49" s="2" t="n">
        <v>78.53</v>
      </c>
      <c r="G49" s="2" t="n">
        <v>99.75</v>
      </c>
      <c r="H49" s="2" t="n">
        <v>76.92</v>
      </c>
      <c r="I49" s="2" t="n">
        <v>100.29</v>
      </c>
      <c r="J49" s="2" t="n">
        <v>1472</v>
      </c>
      <c r="K49" s="2" t="n">
        <v>1501.48</v>
      </c>
      <c r="L49" s="2" t="n">
        <v>33950</v>
      </c>
      <c r="M49" s="2" t="n">
        <v>10910</v>
      </c>
      <c r="N49" s="2" t="n">
        <v>10160</v>
      </c>
      <c r="O49" s="2" t="n">
        <v>59.62</v>
      </c>
      <c r="P49" s="2" t="n">
        <v>55.29</v>
      </c>
      <c r="Q49" s="2" t="n">
        <v>49.93</v>
      </c>
      <c r="R49" s="2" t="n">
        <v>13025</v>
      </c>
      <c r="S49" s="2" t="n">
        <v>20330</v>
      </c>
      <c r="T49" s="2" t="n">
        <v>25030</v>
      </c>
      <c r="U49" s="2" t="n">
        <v>46200</v>
      </c>
      <c r="V49" s="2" t="n">
        <v>22625</v>
      </c>
      <c r="W49" s="2" t="n">
        <v>24330</v>
      </c>
      <c r="X49" s="2" t="n">
        <v>14060</v>
      </c>
      <c r="Y49" s="2" t="n">
        <v>4080</v>
      </c>
      <c r="Z49" t="n">
        <v>13785</v>
      </c>
      <c r="AA49" s="2" t="n">
        <v>244.45</v>
      </c>
      <c r="AB49" s="2" t="n">
        <v>30.8</v>
      </c>
      <c r="AC49" s="2" t="n">
        <v>77.73999999999999</v>
      </c>
      <c r="AD49" s="2" t="n">
        <v>139.67</v>
      </c>
      <c r="AE49" s="2" t="n">
        <v>217.54</v>
      </c>
      <c r="AF49" s="2" t="n">
        <v>70957</v>
      </c>
      <c r="AG49" s="2" t="n">
        <v>2092.62</v>
      </c>
    </row>
    <row r="50" ht="16" customHeight="1">
      <c r="A50" s="2" t="inlineStr">
        <is>
          <t>03/12/2026</t>
        </is>
      </c>
      <c r="B50" s="2" t="n">
        <v>110715</v>
      </c>
      <c r="C50" s="2" t="n">
        <v>1074290</v>
      </c>
      <c r="D50" s="2" t="n">
        <v>1061130</v>
      </c>
      <c r="E50" s="2" t="n">
        <v>100.49</v>
      </c>
      <c r="F50" s="2" t="n">
        <v>79.45999999999999</v>
      </c>
      <c r="G50" s="2" t="n">
        <v>100.01</v>
      </c>
      <c r="H50" s="2" t="n">
        <v>79</v>
      </c>
      <c r="I50" s="2" t="n">
        <v>101.84</v>
      </c>
      <c r="J50" s="2" t="n">
        <v>1465</v>
      </c>
      <c r="K50" s="2" t="n">
        <v>1493</v>
      </c>
      <c r="L50" s="2" t="n">
        <v>33945</v>
      </c>
      <c r="M50" s="2" t="n">
        <v>10840</v>
      </c>
      <c r="N50" s="2" t="n">
        <v>10090</v>
      </c>
      <c r="O50" s="2" t="n">
        <v>59.63</v>
      </c>
      <c r="P50" s="2" t="n">
        <v>55.55</v>
      </c>
      <c r="Q50" s="2" t="n">
        <v>49.92</v>
      </c>
      <c r="R50" s="2" t="n">
        <v>13100</v>
      </c>
      <c r="S50" s="2" t="n">
        <v>20330</v>
      </c>
      <c r="T50" s="2" t="n">
        <v>24970</v>
      </c>
      <c r="U50" s="2" t="n">
        <v>46890</v>
      </c>
      <c r="V50" s="2" t="n">
        <v>22575</v>
      </c>
      <c r="W50" s="2" t="n">
        <v>24350</v>
      </c>
      <c r="X50" s="2" t="n">
        <v>13980</v>
      </c>
      <c r="Y50" s="2" t="n">
        <v>3960</v>
      </c>
      <c r="Z50" t="n">
        <v>13835</v>
      </c>
      <c r="AA50" s="2" t="n">
        <v>245.94</v>
      </c>
      <c r="AB50" s="2" t="n">
        <v>30.82</v>
      </c>
      <c r="AC50" s="2" t="n">
        <v>78.38</v>
      </c>
      <c r="AD50" s="2" t="n">
        <v>137.34</v>
      </c>
      <c r="AE50" s="2" t="n">
        <v>218.09</v>
      </c>
      <c r="AF50" s="2" t="n">
        <v>70494.10000000001</v>
      </c>
      <c r="AG50" s="2" t="n">
        <v>2073.08</v>
      </c>
    </row>
    <row r="51" ht="16" customHeight="1">
      <c r="A51" s="2" t="inlineStr">
        <is>
          <t>03/11/2026</t>
        </is>
      </c>
      <c r="B51" s="2" t="n">
        <v>110705</v>
      </c>
      <c r="C51" s="2" t="n">
        <v>1074045</v>
      </c>
      <c r="D51" s="2" t="n">
        <v>1060910</v>
      </c>
      <c r="E51" s="2" t="n">
        <v>100.48</v>
      </c>
      <c r="F51" s="2" t="n">
        <v>80.03</v>
      </c>
      <c r="G51" s="2" t="n">
        <v>100.03</v>
      </c>
      <c r="H51" s="2" t="n">
        <v>79.3</v>
      </c>
      <c r="I51" s="2" t="n">
        <v>102.38</v>
      </c>
      <c r="J51" s="2" t="n">
        <v>1464</v>
      </c>
      <c r="K51" s="2" t="n">
        <v>1477.86</v>
      </c>
      <c r="L51" s="2" t="n">
        <v>34020</v>
      </c>
      <c r="M51" s="2" t="n">
        <v>10800</v>
      </c>
      <c r="N51" s="2" t="n">
        <v>10160</v>
      </c>
      <c r="O51" s="2" t="n">
        <v>59.81</v>
      </c>
      <c r="P51" s="2" t="n">
        <v>55.7</v>
      </c>
      <c r="Q51" s="2" t="n">
        <v>49.94</v>
      </c>
      <c r="R51" s="2" t="n">
        <v>13185</v>
      </c>
      <c r="S51" s="2" t="n">
        <v>20155</v>
      </c>
      <c r="T51" s="2" t="n">
        <v>25010</v>
      </c>
      <c r="U51" s="2" t="n">
        <v>47400</v>
      </c>
      <c r="V51" s="2" t="n">
        <v>22610</v>
      </c>
      <c r="W51" s="2" t="n">
        <v>24335</v>
      </c>
      <c r="X51" s="2" t="n">
        <v>13920</v>
      </c>
      <c r="Y51" s="2" t="n">
        <v>3885</v>
      </c>
      <c r="Z51" t="n">
        <v>13630</v>
      </c>
      <c r="AA51" s="2" t="n">
        <v>250.21</v>
      </c>
      <c r="AB51" s="2" t="n">
        <v>31</v>
      </c>
      <c r="AC51" s="2" t="n">
        <v>79.59</v>
      </c>
      <c r="AD51" s="2" t="n">
        <v>138.33</v>
      </c>
      <c r="AE51" s="2" t="n">
        <v>220.99</v>
      </c>
      <c r="AF51" s="2" t="n">
        <v>70190.10000000001</v>
      </c>
      <c r="AG51" s="2" t="n">
        <v>2051.85</v>
      </c>
    </row>
    <row r="52" ht="16" customHeight="1">
      <c r="A52" s="2" t="inlineStr">
        <is>
          <t>03/10/2026</t>
        </is>
      </c>
      <c r="B52" s="2" t="n">
        <v>110700</v>
      </c>
      <c r="C52" s="2" t="n">
        <v>1073960</v>
      </c>
      <c r="D52" s="2" t="n">
        <v>1060805</v>
      </c>
      <c r="E52" s="2" t="n">
        <v>100.46</v>
      </c>
      <c r="F52" s="2" t="n">
        <v>79.55</v>
      </c>
      <c r="G52" s="2" t="n">
        <v>100.02</v>
      </c>
      <c r="H52" s="2" t="n">
        <v>79.05</v>
      </c>
      <c r="I52" s="2" t="n">
        <v>102.74</v>
      </c>
      <c r="J52" s="2" t="n">
        <v>1463</v>
      </c>
      <c r="K52" s="2" t="n">
        <v>1473.38</v>
      </c>
      <c r="L52" s="2" t="n">
        <v>33930</v>
      </c>
      <c r="M52" s="2" t="n">
        <v>10850</v>
      </c>
      <c r="N52" s="2" t="n">
        <v>10265</v>
      </c>
      <c r="O52" s="2" t="n">
        <v>59.97</v>
      </c>
      <c r="P52" s="2" t="n">
        <v>56.35</v>
      </c>
      <c r="Q52" s="2" t="n">
        <v>49.92</v>
      </c>
      <c r="R52" s="2" t="n">
        <v>13175</v>
      </c>
      <c r="S52" s="2" t="n">
        <v>20535</v>
      </c>
      <c r="T52" s="2" t="n">
        <v>25020</v>
      </c>
      <c r="U52" s="2" t="n">
        <v>46880</v>
      </c>
      <c r="V52" s="2" t="n">
        <v>22620</v>
      </c>
      <c r="W52" s="2" t="n">
        <v>24330</v>
      </c>
      <c r="X52" s="2" t="n">
        <v>13945</v>
      </c>
      <c r="Y52" s="2" t="n">
        <v>3870</v>
      </c>
      <c r="AA52" s="2" t="n">
        <v>250.27</v>
      </c>
      <c r="AB52" s="2" t="n">
        <v>30.9</v>
      </c>
      <c r="AC52" s="2" t="n">
        <v>79.67</v>
      </c>
      <c r="AD52" s="2" t="n">
        <v>138.46</v>
      </c>
      <c r="AE52" s="2" t="n">
        <v>221.66</v>
      </c>
      <c r="AF52" s="2" t="n">
        <v>69951.89999999999</v>
      </c>
      <c r="AG52" s="2" t="n">
        <v>2036.72</v>
      </c>
    </row>
    <row r="53" ht="16" customHeight="1">
      <c r="A53" s="2" t="inlineStr">
        <is>
          <t>03/09/2026</t>
        </is>
      </c>
      <c r="B53" s="2" t="n">
        <v>110690</v>
      </c>
      <c r="C53" s="2" t="n">
        <v>1073880</v>
      </c>
      <c r="D53" s="2" t="n">
        <v>1060735</v>
      </c>
      <c r="E53" s="2" t="n">
        <v>100.46</v>
      </c>
      <c r="F53" s="2" t="n">
        <v>78.75</v>
      </c>
      <c r="G53" s="2" t="n">
        <v>100.06</v>
      </c>
      <c r="H53" s="2" t="n">
        <v>78.83</v>
      </c>
      <c r="I53" s="2" t="n">
        <v>101.48</v>
      </c>
      <c r="J53" s="2" t="n">
        <v>1467</v>
      </c>
      <c r="K53" s="2" t="n">
        <v>1461.75</v>
      </c>
      <c r="L53" s="2" t="n">
        <v>33865</v>
      </c>
      <c r="M53" s="2" t="n">
        <v>10960</v>
      </c>
      <c r="N53" s="2" t="n">
        <v>10300</v>
      </c>
      <c r="O53" s="2" t="n">
        <v>60.1</v>
      </c>
      <c r="P53" s="2" t="n">
        <v>56.86</v>
      </c>
      <c r="Q53" s="2" t="n">
        <v>49.97</v>
      </c>
      <c r="R53" s="2" t="n">
        <v>13175</v>
      </c>
      <c r="S53" s="2" t="n">
        <v>20215</v>
      </c>
      <c r="T53" s="2" t="n">
        <v>24895</v>
      </c>
      <c r="U53" s="2" t="n">
        <v>44165</v>
      </c>
      <c r="V53" s="2" t="n">
        <v>22495</v>
      </c>
      <c r="W53" s="2" t="n">
        <v>24080</v>
      </c>
      <c r="X53" s="2" t="n">
        <v>13995</v>
      </c>
      <c r="Y53" s="2" t="n">
        <v>3740</v>
      </c>
      <c r="AA53" s="2" t="n">
        <v>250.21</v>
      </c>
      <c r="AB53" s="2" t="n">
        <v>31.02</v>
      </c>
      <c r="AC53" s="2" t="n">
        <v>79.81</v>
      </c>
      <c r="AD53" s="2" t="n">
        <v>138.95</v>
      </c>
      <c r="AE53" s="2" t="n">
        <v>222.76</v>
      </c>
      <c r="AF53" s="2" t="n">
        <v>68435.5</v>
      </c>
      <c r="AG53" s="2" t="n">
        <v>1994.03</v>
      </c>
    </row>
    <row r="54" ht="16" customHeight="1">
      <c r="A54" s="2" t="inlineStr">
        <is>
          <t>03/08/2026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>
        <v>1482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AA54" s="2" t="n"/>
      <c r="AB54" s="2" t="n"/>
      <c r="AC54" s="2" t="n"/>
      <c r="AD54" s="2" t="n"/>
      <c r="AE54" s="2" t="n"/>
      <c r="AF54" s="2" t="n">
        <v>65972.60000000001</v>
      </c>
      <c r="AG54" s="2" t="n">
        <v>1937.16</v>
      </c>
    </row>
    <row r="55" ht="16" customHeight="1">
      <c r="A55" s="2" t="inlineStr">
        <is>
          <t>03/07/2026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>
        <v>1477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AA55" s="2" t="n"/>
      <c r="AB55" s="2" t="n"/>
      <c r="AC55" s="2" t="n"/>
      <c r="AD55" s="2" t="n"/>
      <c r="AE55" s="2" t="n"/>
      <c r="AF55" s="2" t="n">
        <v>67258.89999999999</v>
      </c>
      <c r="AG55" s="2" t="n">
        <v>1969.29</v>
      </c>
    </row>
    <row r="56" ht="16" customHeight="1">
      <c r="A56" s="2" t="inlineStr">
        <is>
          <t>03/06/2026</t>
        </is>
      </c>
      <c r="B56" s="2" t="n">
        <v>110685</v>
      </c>
      <c r="C56" s="2" t="n">
        <v>1073795</v>
      </c>
      <c r="D56" s="2" t="n">
        <v>1060675</v>
      </c>
      <c r="E56" s="2" t="n">
        <v>100.45</v>
      </c>
      <c r="F56" s="2" t="n">
        <v>78.97</v>
      </c>
      <c r="G56" s="2" t="n">
        <v>100.02</v>
      </c>
      <c r="H56" s="2" t="n">
        <v>78.81999999999999</v>
      </c>
      <c r="I56" s="2" t="n">
        <v>100.02</v>
      </c>
      <c r="J56" s="2" t="n">
        <v>1479</v>
      </c>
      <c r="K56" s="2" t="n">
        <v>1482.03</v>
      </c>
      <c r="L56" s="2" t="n">
        <v>33830</v>
      </c>
      <c r="M56" s="2" t="n">
        <v>10870</v>
      </c>
      <c r="N56" s="2" t="n">
        <v>10265</v>
      </c>
      <c r="O56" s="2" t="n">
        <v>60</v>
      </c>
      <c r="P56" s="2" t="n">
        <v>56.45</v>
      </c>
      <c r="Q56" s="2" t="n">
        <v>49.99</v>
      </c>
      <c r="R56" s="2" t="n">
        <v>13295</v>
      </c>
      <c r="S56" s="2" t="n">
        <v>20920</v>
      </c>
      <c r="T56" s="2" t="n">
        <v>25310</v>
      </c>
      <c r="U56" s="2" t="n">
        <v>47250</v>
      </c>
      <c r="V56" s="2" t="n">
        <v>22885</v>
      </c>
      <c r="W56" s="2" t="n">
        <v>24575</v>
      </c>
      <c r="X56" s="2" t="n">
        <v>14040</v>
      </c>
      <c r="Y56" s="2" t="n">
        <v>3865</v>
      </c>
      <c r="AA56" s="2" t="n">
        <v>246.97</v>
      </c>
      <c r="AB56" s="2" t="n">
        <v>31.13</v>
      </c>
      <c r="AC56" s="2" t="n">
        <v>79.13</v>
      </c>
      <c r="AD56" s="2" t="n">
        <v>133.53</v>
      </c>
      <c r="AE56" s="2" t="n">
        <v>221.52</v>
      </c>
      <c r="AF56" s="2" t="n">
        <v>68123.89999999999</v>
      </c>
      <c r="AG56" s="2" t="n">
        <v>1978.49</v>
      </c>
    </row>
    <row r="57" ht="16" customHeight="1">
      <c r="A57" s="2" t="inlineStr">
        <is>
          <t>03/05/2026</t>
        </is>
      </c>
      <c r="B57" s="2" t="n">
        <v>110660</v>
      </c>
      <c r="C57" s="2" t="n">
        <v>1073710</v>
      </c>
      <c r="D57" s="2" t="n">
        <v>1060565</v>
      </c>
      <c r="E57" s="2" t="n">
        <v>100.41</v>
      </c>
      <c r="F57" s="2" t="n">
        <v>79.65000000000001</v>
      </c>
      <c r="G57" s="2" t="n">
        <v>100.01</v>
      </c>
      <c r="H57" s="2" t="n">
        <v>79.73999999999999</v>
      </c>
      <c r="I57" s="2" t="n">
        <v>100.56</v>
      </c>
      <c r="J57" s="2" t="n">
        <v>1467</v>
      </c>
      <c r="K57" s="2" t="n">
        <v>1481.15</v>
      </c>
      <c r="L57" s="2" t="n">
        <v>33930</v>
      </c>
      <c r="M57" s="2" t="n">
        <v>10835</v>
      </c>
      <c r="N57" s="2" t="n">
        <v>10200</v>
      </c>
      <c r="O57" s="2" t="n">
        <v>60</v>
      </c>
      <c r="P57" s="2" t="n">
        <v>56.63</v>
      </c>
      <c r="Q57" s="2" t="n">
        <v>49.87</v>
      </c>
      <c r="R57" s="2" t="n">
        <v>13510</v>
      </c>
      <c r="S57" s="2" t="n">
        <v>19945</v>
      </c>
      <c r="T57" s="2" t="n">
        <v>25200</v>
      </c>
      <c r="U57" s="2" t="n">
        <v>47265</v>
      </c>
      <c r="V57" s="2" t="n">
        <v>22785</v>
      </c>
      <c r="W57" s="2" t="n">
        <v>24340</v>
      </c>
      <c r="X57" s="2" t="n">
        <v>13980</v>
      </c>
      <c r="Y57" s="2" t="n">
        <v>3885</v>
      </c>
      <c r="AA57" s="2" t="n">
        <v>250.72</v>
      </c>
      <c r="AB57" s="2" t="n">
        <v>31.26</v>
      </c>
      <c r="AC57" s="2" t="n">
        <v>80.17</v>
      </c>
      <c r="AD57" s="2" t="n">
        <v>139.81</v>
      </c>
      <c r="AE57" s="2" t="n">
        <v>223.45</v>
      </c>
      <c r="AF57" s="2" t="n">
        <v>70887.5</v>
      </c>
      <c r="AG57" s="2" t="n">
        <v>2072.9</v>
      </c>
    </row>
    <row r="58" ht="16" customHeight="1">
      <c r="A58" s="2" t="inlineStr">
        <is>
          <t>03/04/2026</t>
        </is>
      </c>
      <c r="B58" s="2" t="n">
        <v>110650</v>
      </c>
      <c r="C58" s="2" t="n">
        <v>1073465</v>
      </c>
      <c r="D58" s="2" t="n">
        <v>1060315</v>
      </c>
      <c r="E58" s="2" t="n">
        <v>100.4</v>
      </c>
      <c r="F58" s="2" t="n">
        <v>81.79000000000001</v>
      </c>
      <c r="G58" s="2" t="n">
        <v>100.05</v>
      </c>
      <c r="H58" s="2" t="n">
        <v>79.73999999999999</v>
      </c>
      <c r="I58" s="2" t="n">
        <v>100.91</v>
      </c>
      <c r="J58" s="2" t="n">
        <v>1449</v>
      </c>
      <c r="K58" s="2" t="n">
        <v>1462.32</v>
      </c>
      <c r="L58" s="2" t="n">
        <v>33965</v>
      </c>
      <c r="M58" s="2" t="n">
        <v>10920</v>
      </c>
      <c r="N58" s="2" t="n">
        <v>10315</v>
      </c>
      <c r="O58" s="2" t="n">
        <v>60.12</v>
      </c>
      <c r="P58" s="2" t="n">
        <v>56.87</v>
      </c>
      <c r="Q58" s="2" t="n">
        <v>49.82</v>
      </c>
      <c r="R58" s="2" t="n">
        <v>13415</v>
      </c>
      <c r="S58" s="2" t="n">
        <v>17420</v>
      </c>
      <c r="T58" s="2" t="n">
        <v>25085</v>
      </c>
      <c r="U58" s="2" t="n">
        <v>42945</v>
      </c>
      <c r="V58" s="2" t="n">
        <v>22675</v>
      </c>
      <c r="W58" s="2" t="n">
        <v>24005</v>
      </c>
      <c r="X58" s="2" t="n">
        <v>13985</v>
      </c>
      <c r="Y58" s="2" t="n">
        <v>3630</v>
      </c>
      <c r="AA58" s="2" t="n">
        <v>251.37</v>
      </c>
      <c r="AB58" s="2" t="n">
        <v>31.54</v>
      </c>
      <c r="AC58" s="2" t="n">
        <v>80.62</v>
      </c>
      <c r="AD58" s="2" t="n">
        <v>146.44</v>
      </c>
      <c r="AE58" s="2" t="n">
        <v>225.52</v>
      </c>
      <c r="AF58" s="2" t="n">
        <v>72768.7</v>
      </c>
      <c r="AG58" s="2" t="n">
        <v>2129.34</v>
      </c>
    </row>
    <row r="59" ht="16" customHeight="1">
      <c r="A59" s="2" t="inlineStr">
        <is>
          <t>03/03/2026</t>
        </is>
      </c>
      <c r="B59" s="2" t="n">
        <v>110640</v>
      </c>
      <c r="C59" s="2" t="n">
        <v>1073385</v>
      </c>
      <c r="D59" s="2" t="n">
        <v>1060245</v>
      </c>
      <c r="E59" s="2" t="n">
        <v>100.4</v>
      </c>
      <c r="F59" s="2" t="n">
        <v>79.73999999999999</v>
      </c>
      <c r="G59" s="2" t="n">
        <v>100.01</v>
      </c>
      <c r="H59" s="2" t="n">
        <v>78.34999999999999</v>
      </c>
      <c r="I59" s="2" t="n">
        <v>100</v>
      </c>
      <c r="J59" s="2" t="n">
        <v>1469</v>
      </c>
      <c r="K59" s="2" t="n">
        <v>1480.86</v>
      </c>
      <c r="L59" s="2" t="n">
        <v>34970</v>
      </c>
      <c r="M59" s="2" t="n">
        <v>10855</v>
      </c>
      <c r="N59" s="2" t="n">
        <v>10250</v>
      </c>
      <c r="O59" s="2" t="n">
        <v>60.22</v>
      </c>
      <c r="P59" s="2" t="n">
        <v>57.03</v>
      </c>
      <c r="Q59" s="2" t="n">
        <v>49.88</v>
      </c>
      <c r="R59" s="2" t="n">
        <v>13760</v>
      </c>
      <c r="S59" s="2" t="n">
        <v>20405</v>
      </c>
      <c r="T59" s="2" t="n">
        <v>25075</v>
      </c>
      <c r="U59" s="2" t="n">
        <v>48985</v>
      </c>
      <c r="V59" s="2" t="n">
        <v>22640</v>
      </c>
      <c r="W59" s="2" t="n">
        <v>24070</v>
      </c>
      <c r="X59" s="2" t="n">
        <v>13905</v>
      </c>
      <c r="Y59" s="2" t="n">
        <v>3940</v>
      </c>
      <c r="AA59" s="2" t="n">
        <v>247.72</v>
      </c>
      <c r="AB59" s="2" t="n">
        <v>31.59</v>
      </c>
      <c r="AC59" s="2" t="n">
        <v>80.05</v>
      </c>
      <c r="AD59" s="2" t="n">
        <v>132.68</v>
      </c>
      <c r="AE59" s="2" t="n">
        <v>225.18</v>
      </c>
      <c r="AF59" s="2" t="n">
        <v>68318.5</v>
      </c>
      <c r="AG59" s="2" t="n">
        <v>1982.78</v>
      </c>
    </row>
    <row r="60" ht="16" customHeight="1">
      <c r="A60" s="2" t="inlineStr">
        <is>
          <t>03/02/2026</t>
        </is>
      </c>
      <c r="B60" s="2" t="n"/>
      <c r="C60" s="2" t="n"/>
      <c r="D60" s="2" t="n"/>
      <c r="E60" s="2" t="n">
        <v>100.38</v>
      </c>
      <c r="F60" s="2" t="n">
        <v>80.09999999999999</v>
      </c>
      <c r="G60" s="2" t="n">
        <v>100</v>
      </c>
      <c r="H60" s="2" t="n">
        <v>78.25</v>
      </c>
      <c r="I60" s="2" t="n">
        <v>100.93</v>
      </c>
      <c r="J60" s="2" t="n">
        <v>1462</v>
      </c>
      <c r="K60" s="2" t="n">
        <v>1453.65</v>
      </c>
      <c r="L60" s="2" t="n"/>
      <c r="M60" s="2" t="n"/>
      <c r="N60" s="2" t="n"/>
      <c r="O60" s="2" t="n">
        <v>60.27</v>
      </c>
      <c r="P60" s="2" t="n">
        <v>57.14</v>
      </c>
      <c r="Q60" s="2" t="n">
        <v>49.88</v>
      </c>
      <c r="R60" s="2" t="n"/>
      <c r="S60" s="2" t="n"/>
      <c r="T60" s="2" t="n"/>
      <c r="U60" s="2" t="n"/>
      <c r="V60" s="2" t="n"/>
      <c r="W60" s="2" t="n"/>
      <c r="X60" s="2" t="n"/>
      <c r="Y60" s="2" t="n"/>
      <c r="AA60" s="2" t="n">
        <v>250.36</v>
      </c>
      <c r="AB60" s="2" t="n">
        <v>31.86</v>
      </c>
      <c r="AC60" s="2" t="n">
        <v>80.77</v>
      </c>
      <c r="AD60" s="2" t="n">
        <v>137.65</v>
      </c>
      <c r="AE60" s="2" t="n">
        <v>227.15</v>
      </c>
      <c r="AF60" s="2" t="n">
        <v>68790.8</v>
      </c>
      <c r="AG60" s="2" t="n">
        <v>2026.55</v>
      </c>
    </row>
    <row r="61" ht="16" customHeight="1">
      <c r="A61" s="2" t="inlineStr">
        <is>
          <t>03/01/2026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>
        <v>1459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AA61" s="2" t="n"/>
      <c r="AB61" s="2" t="n"/>
      <c r="AC61" s="2" t="n"/>
      <c r="AD61" s="2" t="n"/>
      <c r="AE61" s="2" t="n"/>
      <c r="AF61" s="2" t="n">
        <v>65763.3</v>
      </c>
      <c r="AG61" s="2" t="n">
        <v>1939.43</v>
      </c>
    </row>
    <row r="62" ht="16" customHeight="1">
      <c r="A62" s="2" t="inlineStr">
        <is>
          <t>02/28/2026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>
        <v>1458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AA62" s="2" t="n"/>
      <c r="AB62" s="2" t="n"/>
      <c r="AC62" s="2" t="n"/>
      <c r="AD62" s="2" t="n"/>
      <c r="AE62" s="2" t="n"/>
      <c r="AF62" s="2" t="n">
        <v>66995</v>
      </c>
      <c r="AG62" s="2" t="n">
        <v>1964.99</v>
      </c>
    </row>
    <row r="63" ht="16" customHeight="1">
      <c r="A63" s="2" t="inlineStr">
        <is>
          <t>02/27/2026</t>
        </is>
      </c>
      <c r="B63" s="2" t="n">
        <v>110635</v>
      </c>
      <c r="C63" s="2" t="n">
        <v>1073310</v>
      </c>
      <c r="D63" s="2" t="n">
        <v>1060200</v>
      </c>
      <c r="E63" s="2" t="n">
        <v>100.64</v>
      </c>
      <c r="F63" s="2" t="n">
        <v>78.34</v>
      </c>
      <c r="G63" s="2" t="n">
        <v>100</v>
      </c>
      <c r="H63" s="2" t="n">
        <v>77.52</v>
      </c>
      <c r="I63" s="2" t="n">
        <v>98.56</v>
      </c>
      <c r="J63" s="2" t="n">
        <v>1460</v>
      </c>
      <c r="K63" s="2" t="n">
        <v>1439.8</v>
      </c>
      <c r="L63" s="2" t="n">
        <v>33530</v>
      </c>
      <c r="M63" s="2" t="n">
        <v>10690</v>
      </c>
      <c r="N63" s="2" t="n">
        <v>10160</v>
      </c>
      <c r="O63" s="2" t="n">
        <v>60.73</v>
      </c>
      <c r="P63" s="2" t="n">
        <v>57.84</v>
      </c>
      <c r="Q63" s="2" t="n">
        <v>49.9</v>
      </c>
      <c r="R63" s="2" t="n">
        <v>13545</v>
      </c>
      <c r="S63" s="2" t="n">
        <v>21525</v>
      </c>
      <c r="T63" s="2" t="n">
        <v>24830</v>
      </c>
      <c r="U63" s="2" t="n">
        <v>53235</v>
      </c>
      <c r="V63" s="2" t="n">
        <v>22445</v>
      </c>
      <c r="W63" s="2" t="n">
        <v>23830</v>
      </c>
      <c r="X63" s="2" t="n">
        <v>13715</v>
      </c>
      <c r="Y63" s="2" t="n">
        <v>4090</v>
      </c>
      <c r="AA63" s="2" t="n">
        <v>250.06</v>
      </c>
      <c r="AB63" s="2" t="n">
        <v>31.77</v>
      </c>
      <c r="AC63" s="2" t="n">
        <v>80.76000000000001</v>
      </c>
      <c r="AD63" s="2" t="n">
        <v>129.5</v>
      </c>
      <c r="AE63" s="2" t="n">
        <v>227.7</v>
      </c>
      <c r="AF63" s="2" t="n">
        <v>65870.2</v>
      </c>
      <c r="AG63" s="2" t="n">
        <v>1930.29</v>
      </c>
    </row>
    <row r="64" ht="16" customHeight="1">
      <c r="A64" s="2" t="inlineStr">
        <is>
          <t>02/26/2026</t>
        </is>
      </c>
      <c r="B64" s="2" t="n">
        <v>110605</v>
      </c>
      <c r="C64" s="2" t="n">
        <v>1073230</v>
      </c>
      <c r="D64" s="2" t="n">
        <v>1060090</v>
      </c>
      <c r="E64" s="2" t="n">
        <v>100.62</v>
      </c>
      <c r="F64" s="2" t="n">
        <v>80.44</v>
      </c>
      <c r="G64" s="2" t="n">
        <v>100</v>
      </c>
      <c r="H64" s="2" t="n">
        <v>77.79000000000001</v>
      </c>
      <c r="I64" s="2" t="n">
        <v>100.94</v>
      </c>
      <c r="J64" s="2" t="n">
        <v>1445</v>
      </c>
      <c r="K64" s="2" t="n">
        <v>1432.14</v>
      </c>
      <c r="L64" s="2" t="n">
        <v>33290</v>
      </c>
      <c r="M64" s="2" t="n">
        <v>10570</v>
      </c>
      <c r="N64" s="2" t="n">
        <v>10010</v>
      </c>
      <c r="O64" s="2" t="n">
        <v>60.55</v>
      </c>
      <c r="P64" s="2" t="n">
        <v>57.54</v>
      </c>
      <c r="Q64" s="2" t="n">
        <v>49.85</v>
      </c>
      <c r="R64" s="2" t="n">
        <v>13460</v>
      </c>
      <c r="S64" s="2" t="n">
        <v>21430</v>
      </c>
      <c r="T64" s="2" t="n">
        <v>24800</v>
      </c>
      <c r="U64" s="2" t="n">
        <v>53755</v>
      </c>
      <c r="V64" s="2" t="n">
        <v>22415</v>
      </c>
      <c r="W64" s="2" t="n">
        <v>23915</v>
      </c>
      <c r="X64" s="2" t="n">
        <v>13645</v>
      </c>
      <c r="Y64" s="2" t="n">
        <v>4075</v>
      </c>
      <c r="AA64" s="2" t="n">
        <v>250.88</v>
      </c>
      <c r="AB64" s="2" t="n">
        <v>31.51</v>
      </c>
      <c r="AC64" s="2" t="n">
        <v>81.13</v>
      </c>
      <c r="AD64" s="2" t="n">
        <v>133.4</v>
      </c>
      <c r="AE64" s="2" t="n">
        <v>227.43</v>
      </c>
      <c r="AF64" s="2" t="n">
        <v>67482.10000000001</v>
      </c>
      <c r="AG64" s="2" t="n">
        <v>2027.58</v>
      </c>
    </row>
    <row r="65" ht="16" customHeight="1">
      <c r="A65" s="2" t="inlineStr">
        <is>
          <t>02/25/2026</t>
        </is>
      </c>
      <c r="B65" s="2" t="n">
        <v>110845</v>
      </c>
      <c r="C65" s="2" t="n">
        <v>1075515</v>
      </c>
      <c r="D65" s="2" t="n">
        <v>1059760</v>
      </c>
      <c r="E65" s="2" t="n">
        <v>100.6</v>
      </c>
      <c r="F65" s="2" t="n">
        <v>80.59</v>
      </c>
      <c r="G65" s="2" t="n">
        <v>99.95999999999999</v>
      </c>
      <c r="H65" s="2" t="n">
        <v>77.59999999999999</v>
      </c>
      <c r="I65" s="2" t="n">
        <v>100.99</v>
      </c>
      <c r="J65" s="2" t="n">
        <v>1441</v>
      </c>
      <c r="K65" s="2" t="n">
        <v>1426.69</v>
      </c>
      <c r="L65" s="2" t="n">
        <v>33480</v>
      </c>
      <c r="M65" s="2" t="n">
        <v>10620</v>
      </c>
      <c r="N65" s="2" t="n">
        <v>10050</v>
      </c>
      <c r="O65" s="2" t="n">
        <v>60.42</v>
      </c>
      <c r="P65" s="2" t="n">
        <v>57.32</v>
      </c>
      <c r="Q65" s="2" t="n">
        <v>49.79</v>
      </c>
      <c r="R65" s="2" t="n">
        <v>13465</v>
      </c>
      <c r="S65" s="2" t="n">
        <v>20570</v>
      </c>
      <c r="T65" s="2" t="n">
        <v>24705</v>
      </c>
      <c r="U65" s="2" t="n">
        <v>51365</v>
      </c>
      <c r="V65" s="2" t="n">
        <v>22335</v>
      </c>
      <c r="W65" s="2" t="n">
        <v>23715</v>
      </c>
      <c r="X65" s="2" t="n">
        <v>13655</v>
      </c>
      <c r="Y65" s="2" t="n">
        <v>4150</v>
      </c>
      <c r="AA65" s="2" t="n">
        <v>253.83</v>
      </c>
      <c r="AB65" s="2" t="n">
        <v>31.51</v>
      </c>
      <c r="AC65" s="2" t="n">
        <v>81.56</v>
      </c>
      <c r="AD65" s="2" t="n">
        <v>135.65</v>
      </c>
      <c r="AE65" s="2" t="n">
        <v>227.64</v>
      </c>
      <c r="AF65" s="2" t="n">
        <v>67978.8</v>
      </c>
      <c r="AG65" s="2" t="n">
        <v>2056.43</v>
      </c>
    </row>
    <row r="66" ht="16" customHeight="1">
      <c r="A66" s="2" t="inlineStr">
        <is>
          <t>02/24/2026</t>
        </is>
      </c>
      <c r="B66" s="2" t="n">
        <v>110835</v>
      </c>
      <c r="C66" s="2" t="n">
        <v>1075435</v>
      </c>
      <c r="D66" s="2" t="n">
        <v>1059665</v>
      </c>
      <c r="E66" s="2" t="n">
        <v>100.59</v>
      </c>
      <c r="F66" s="2" t="n">
        <v>78.23</v>
      </c>
      <c r="G66" s="2" t="n">
        <v>99.91</v>
      </c>
      <c r="H66" s="2" t="n">
        <v>75.92</v>
      </c>
      <c r="I66" s="2" t="n">
        <v>99.84</v>
      </c>
      <c r="J66" s="2" t="n">
        <v>1464</v>
      </c>
      <c r="K66" s="2" t="n">
        <v>1441.42</v>
      </c>
      <c r="L66" s="2" t="n">
        <v>33780</v>
      </c>
      <c r="M66" s="2" t="n">
        <v>10715</v>
      </c>
      <c r="N66" s="2" t="n">
        <v>10125</v>
      </c>
      <c r="O66" s="2" t="n">
        <v>60.46</v>
      </c>
      <c r="P66" s="2" t="n">
        <v>57.32</v>
      </c>
      <c r="Q66" s="2" t="n">
        <v>49.76</v>
      </c>
      <c r="R66" s="2" t="n">
        <v>13455</v>
      </c>
      <c r="S66" s="2" t="n">
        <v>20570</v>
      </c>
      <c r="T66" s="2" t="n">
        <v>24780</v>
      </c>
      <c r="U66" s="2" t="n">
        <v>50390</v>
      </c>
      <c r="V66" s="2" t="n">
        <v>22405</v>
      </c>
      <c r="W66" s="2" t="n">
        <v>23730</v>
      </c>
      <c r="X66" s="2" t="n">
        <v>13750</v>
      </c>
      <c r="Y66" s="2" t="n">
        <v>4230</v>
      </c>
      <c r="AA66" s="2" t="n">
        <v>250.31</v>
      </c>
      <c r="AB66" s="2" t="n">
        <v>31.64</v>
      </c>
      <c r="AC66" s="2" t="n">
        <v>80.89</v>
      </c>
      <c r="AD66" s="2" t="n">
        <v>124.61</v>
      </c>
      <c r="AE66" s="2" t="n">
        <v>226.77</v>
      </c>
      <c r="AF66" s="2" t="n">
        <v>64048.8</v>
      </c>
      <c r="AG66" s="2" t="n">
        <v>1851.68</v>
      </c>
    </row>
    <row r="67" ht="16" customHeight="1">
      <c r="A67" s="2" t="inlineStr">
        <is>
          <t>02/23/2026</t>
        </is>
      </c>
      <c r="B67" s="2" t="n">
        <v>110830</v>
      </c>
      <c r="C67" s="2" t="n">
        <v>1075350</v>
      </c>
      <c r="D67" s="2" t="n">
        <v>1059600</v>
      </c>
      <c r="E67" s="2" t="n">
        <v>100.59</v>
      </c>
      <c r="F67" s="2" t="n">
        <v>78.7</v>
      </c>
      <c r="G67" s="2" t="n">
        <v>99.84</v>
      </c>
      <c r="H67" s="2" t="n">
        <v>75.98999999999999</v>
      </c>
      <c r="I67" s="2" t="n">
        <v>100.1</v>
      </c>
      <c r="J67" s="2" t="n">
        <v>1474</v>
      </c>
      <c r="K67" s="2" t="n">
        <v>1444.2</v>
      </c>
      <c r="L67" s="2" t="n">
        <v>33575</v>
      </c>
      <c r="M67" s="2" t="n">
        <v>10685</v>
      </c>
      <c r="N67" s="2" t="n">
        <v>10100</v>
      </c>
      <c r="O67" s="2" t="n">
        <v>60.5</v>
      </c>
      <c r="P67" s="2" t="n">
        <v>57.26</v>
      </c>
      <c r="Q67" s="2" t="n">
        <v>49.77</v>
      </c>
      <c r="R67" s="2" t="n">
        <v>13505</v>
      </c>
      <c r="S67" s="2" t="n">
        <v>20375</v>
      </c>
      <c r="T67" s="2" t="n">
        <v>24775</v>
      </c>
      <c r="U67" s="2" t="n">
        <v>49165</v>
      </c>
      <c r="V67" s="2" t="n">
        <v>22400</v>
      </c>
      <c r="W67" s="2" t="n">
        <v>23700</v>
      </c>
      <c r="X67" s="2" t="n">
        <v>13715</v>
      </c>
      <c r="Y67" s="2" t="n">
        <v>4230</v>
      </c>
      <c r="AA67" s="2" t="n">
        <v>247.65</v>
      </c>
      <c r="AB67" s="2" t="n">
        <v>31.53</v>
      </c>
      <c r="AC67" s="2" t="n">
        <v>80.29000000000001</v>
      </c>
      <c r="AD67" s="2" t="n">
        <v>123.71</v>
      </c>
      <c r="AE67" s="2" t="n">
        <v>225.78</v>
      </c>
      <c r="AF67" s="2" t="n">
        <v>64662.7</v>
      </c>
      <c r="AG67" s="2" t="n">
        <v>1856.79</v>
      </c>
    </row>
    <row r="68" ht="16" customHeight="1">
      <c r="A68" s="2" t="inlineStr">
        <is>
          <t>02/22/2026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>
        <v>1472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AA68" s="2" t="n"/>
      <c r="AB68" s="2" t="n"/>
      <c r="AC68" s="2" t="n"/>
      <c r="AD68" s="2" t="n"/>
      <c r="AE68" s="2" t="n"/>
      <c r="AF68" s="2" t="n">
        <v>67642.89999999999</v>
      </c>
      <c r="AG68" s="2" t="n">
        <v>1957.86</v>
      </c>
    </row>
    <row r="69" ht="16" customHeight="1">
      <c r="A69" s="2" t="inlineStr">
        <is>
          <t>02/21/2026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>
        <v>1470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AA69" s="2" t="n"/>
      <c r="AB69" s="2" t="n"/>
      <c r="AC69" s="2" t="n"/>
      <c r="AD69" s="2" t="n"/>
      <c r="AE69" s="2" t="n"/>
      <c r="AF69" s="2" t="n">
        <v>68011.10000000001</v>
      </c>
      <c r="AG69" s="2" t="n">
        <v>1974.23</v>
      </c>
    </row>
    <row r="70" ht="16" customHeight="1">
      <c r="A70" s="2" t="inlineStr">
        <is>
          <t>02/20/2026</t>
        </is>
      </c>
      <c r="B70" s="2" t="n">
        <v>110825</v>
      </c>
      <c r="C70" s="2" t="n">
        <v>1075265</v>
      </c>
      <c r="D70" s="2" t="n">
        <v>1059545</v>
      </c>
      <c r="E70" s="2" t="n">
        <v>100.57</v>
      </c>
      <c r="F70" s="2" t="n">
        <v>80.02</v>
      </c>
      <c r="G70" s="2" t="n">
        <v>99.81999999999999</v>
      </c>
      <c r="H70" s="2" t="n">
        <v>77.25</v>
      </c>
      <c r="I70" s="2" t="n">
        <v>100.96</v>
      </c>
      <c r="J70" s="2" t="n">
        <v>1473</v>
      </c>
      <c r="K70" s="2" t="n">
        <v>1446.19</v>
      </c>
      <c r="L70" s="2" t="n">
        <v>32865</v>
      </c>
      <c r="M70" s="2" t="n">
        <v>10740</v>
      </c>
      <c r="N70" s="2" t="n">
        <v>10180</v>
      </c>
      <c r="O70" s="2" t="n">
        <v>60.32</v>
      </c>
      <c r="P70" s="2" t="n">
        <v>57.05</v>
      </c>
      <c r="Q70" s="2" t="n">
        <v>49.74</v>
      </c>
      <c r="R70" s="2" t="n">
        <v>13260</v>
      </c>
      <c r="S70" s="2" t="n">
        <v>20630</v>
      </c>
      <c r="T70" s="2" t="n">
        <v>24975</v>
      </c>
      <c r="U70" s="2" t="n">
        <v>48800</v>
      </c>
      <c r="V70" s="2" t="n">
        <v>22575</v>
      </c>
      <c r="W70" s="2" t="n">
        <v>23900</v>
      </c>
      <c r="X70" s="2" t="n">
        <v>13800</v>
      </c>
      <c r="Y70" s="2" t="n">
        <v>4205</v>
      </c>
      <c r="AA70" s="2" t="n">
        <v>250.67</v>
      </c>
      <c r="AB70" s="2" t="n">
        <v>31.61</v>
      </c>
      <c r="AC70" s="2" t="n">
        <v>81.11</v>
      </c>
      <c r="AD70" s="2" t="n">
        <v>131.05</v>
      </c>
      <c r="AE70" s="2" t="n">
        <v>227.57</v>
      </c>
      <c r="AF70" s="2" t="n">
        <v>68023.5</v>
      </c>
      <c r="AG70" s="2" t="n">
        <v>1969.13</v>
      </c>
    </row>
    <row r="71" ht="16" customHeight="1">
      <c r="A71" s="2" t="inlineStr">
        <is>
          <t>02/19/2026</t>
        </is>
      </c>
      <c r="B71" s="2" t="n">
        <v>110805</v>
      </c>
      <c r="C71" s="2" t="n">
        <v>1075185</v>
      </c>
      <c r="D71" s="2" t="n">
        <v>1059445</v>
      </c>
      <c r="E71" s="2" t="n">
        <v>100.55</v>
      </c>
      <c r="F71" s="2" t="n">
        <v>78.90000000000001</v>
      </c>
      <c r="G71" s="2" t="n">
        <v>99.66</v>
      </c>
      <c r="H71" s="2" t="n">
        <v>76.42</v>
      </c>
      <c r="I71" s="2" t="n">
        <v>100.86</v>
      </c>
      <c r="J71" s="2" t="n">
        <v>1475</v>
      </c>
      <c r="K71" s="2" t="n">
        <v>1449.52</v>
      </c>
      <c r="L71" s="2" t="n">
        <v>32635</v>
      </c>
      <c r="M71" s="2" t="n">
        <v>10705</v>
      </c>
      <c r="N71" s="2" t="n">
        <v>10125</v>
      </c>
      <c r="O71" s="2" t="n">
        <v>60.3</v>
      </c>
      <c r="P71" s="2" t="n">
        <v>57.16</v>
      </c>
      <c r="Q71" s="2" t="n">
        <v>49.74</v>
      </c>
      <c r="R71" s="2" t="n">
        <v>13235</v>
      </c>
      <c r="S71" s="2" t="n">
        <v>20745</v>
      </c>
      <c r="T71" s="2" t="n">
        <v>24970</v>
      </c>
      <c r="U71" s="2" t="n">
        <v>47715</v>
      </c>
      <c r="V71" s="2" t="n">
        <v>22575</v>
      </c>
      <c r="W71" s="2" t="n">
        <v>23940</v>
      </c>
      <c r="X71" s="2" t="n">
        <v>13805</v>
      </c>
      <c r="Y71" s="2" t="n">
        <v>4175</v>
      </c>
      <c r="AA71" s="2" t="n">
        <v>248.51</v>
      </c>
      <c r="AB71" s="2" t="n">
        <v>31.57</v>
      </c>
      <c r="AC71" s="2" t="n">
        <v>80.55</v>
      </c>
      <c r="AD71" s="2" t="n">
        <v>129.45</v>
      </c>
      <c r="AE71" s="2" t="n">
        <v>227.11</v>
      </c>
      <c r="AF71" s="2" t="n">
        <v>66978.89999999999</v>
      </c>
      <c r="AG71" s="2" t="n">
        <v>1948.96</v>
      </c>
    </row>
    <row r="72" ht="16" customHeight="1">
      <c r="A72" s="2" t="inlineStr">
        <is>
          <t>02/18/2026</t>
        </is>
      </c>
      <c r="B72" s="2" t="n"/>
      <c r="C72" s="2" t="n"/>
      <c r="D72" s="2" t="n"/>
      <c r="E72" s="2" t="n">
        <v>100.54</v>
      </c>
      <c r="F72" s="2" t="n">
        <v>78.3</v>
      </c>
      <c r="G72" s="2" t="n">
        <v>99.5</v>
      </c>
      <c r="H72" s="2" t="n">
        <v>76.22</v>
      </c>
      <c r="I72" s="2" t="n">
        <v>100.61</v>
      </c>
      <c r="J72" s="2" t="n">
        <v>1484</v>
      </c>
      <c r="K72" s="2" t="n">
        <v>1442.48</v>
      </c>
      <c r="L72" s="2" t="n"/>
      <c r="M72" s="2" t="n"/>
      <c r="N72" s="2" t="n"/>
      <c r="O72" s="2" t="n">
        <v>60.27</v>
      </c>
      <c r="P72" s="2" t="n">
        <v>57.09</v>
      </c>
      <c r="Q72" s="2" t="n">
        <v>49.71</v>
      </c>
      <c r="R72" s="2" t="n"/>
      <c r="S72" s="2" t="n"/>
      <c r="T72" s="2" t="n"/>
      <c r="U72" s="2" t="n"/>
      <c r="V72" s="2" t="n"/>
      <c r="W72" s="2" t="n"/>
      <c r="X72" s="2" t="n"/>
      <c r="Y72" s="2" t="n"/>
      <c r="AA72" s="2" t="n">
        <v>249.38</v>
      </c>
      <c r="AB72" s="2" t="n">
        <v>31.56</v>
      </c>
      <c r="AC72" s="2" t="n">
        <v>80.75</v>
      </c>
      <c r="AD72" s="2" t="n">
        <v>125.2</v>
      </c>
      <c r="AE72" s="2" t="n">
        <v>227.95</v>
      </c>
      <c r="AF72" s="2" t="n">
        <v>66473.2</v>
      </c>
      <c r="AG72" s="2" t="n">
        <v>1955.79</v>
      </c>
    </row>
    <row r="73" ht="16" customHeight="1">
      <c r="A73" s="2" t="inlineStr">
        <is>
          <t>02/17/2026</t>
        </is>
      </c>
      <c r="B73" s="2" t="n"/>
      <c r="C73" s="2" t="n"/>
      <c r="D73" s="2" t="n"/>
      <c r="E73" s="2" t="n">
        <v>100.52</v>
      </c>
      <c r="F73" s="2" t="n">
        <v>78.45</v>
      </c>
      <c r="G73" s="2" t="n">
        <v>99.33</v>
      </c>
      <c r="H73" s="2" t="n">
        <v>76.01000000000001</v>
      </c>
      <c r="I73" s="2" t="n">
        <v>100.29</v>
      </c>
      <c r="J73" s="2" t="n">
        <v>1481</v>
      </c>
      <c r="K73" s="2" t="n">
        <v>1444.61</v>
      </c>
      <c r="L73" s="2" t="n"/>
      <c r="M73" s="2" t="n"/>
      <c r="N73" s="2" t="n"/>
      <c r="O73" s="2" t="n">
        <v>60.35</v>
      </c>
      <c r="P73" s="2" t="n">
        <v>57.29</v>
      </c>
      <c r="Q73" s="2" t="n">
        <v>49.69</v>
      </c>
      <c r="R73" s="2" t="n"/>
      <c r="S73" s="2" t="n"/>
      <c r="T73" s="2" t="n"/>
      <c r="U73" s="2" t="n"/>
      <c r="V73" s="2" t="n"/>
      <c r="W73" s="2" t="n"/>
      <c r="X73" s="2" t="n"/>
      <c r="Y73" s="2" t="n"/>
      <c r="AA73" s="2" t="n">
        <v>247.57</v>
      </c>
      <c r="AB73" s="2" t="n">
        <v>31.42</v>
      </c>
      <c r="AC73" s="2" t="n">
        <v>80.33</v>
      </c>
      <c r="AD73" s="2" t="n">
        <v>128.67</v>
      </c>
      <c r="AE73" s="2" t="n">
        <v>227.18</v>
      </c>
      <c r="AF73" s="2" t="n">
        <v>67490.89999999999</v>
      </c>
      <c r="AG73" s="2" t="n">
        <v>1991.37</v>
      </c>
    </row>
    <row r="74" ht="16" customHeight="1">
      <c r="A74" s="2" t="inlineStr">
        <is>
          <t>02/16/2026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>
        <v>1481</v>
      </c>
      <c r="K74" s="2" t="n">
        <v>1444.34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AA74" s="2" t="n"/>
      <c r="AB74" s="2" t="n"/>
      <c r="AC74" s="2" t="n"/>
      <c r="AD74" s="2" t="n"/>
      <c r="AE74" s="2" t="n"/>
      <c r="AF74" s="2" t="n">
        <v>68890.7</v>
      </c>
      <c r="AG74" s="2" t="n">
        <v>1998.79</v>
      </c>
    </row>
    <row r="75" ht="16" customHeight="1">
      <c r="A75" s="2" t="inlineStr">
        <is>
          <t>02/15/2026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>
        <v>1483</v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AA75" s="2" t="n"/>
      <c r="AB75" s="2" t="n"/>
      <c r="AC75" s="2" t="n"/>
      <c r="AD75" s="2" t="n"/>
      <c r="AE75" s="2" t="n"/>
      <c r="AF75" s="2" t="n">
        <v>68813.8</v>
      </c>
      <c r="AG75" s="2" t="n">
        <v>1966.2</v>
      </c>
    </row>
    <row r="76" ht="16" customHeight="1">
      <c r="A76" s="2" t="inlineStr">
        <is>
          <t>02/14/2026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>
        <v>1472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AA76" s="2" t="n"/>
      <c r="AB76" s="2" t="n"/>
      <c r="AC76" s="2" t="n"/>
      <c r="AD76" s="2" t="n"/>
      <c r="AE76" s="2" t="n"/>
      <c r="AF76" s="2" t="n">
        <v>69784.39999999999</v>
      </c>
      <c r="AG76" s="2" t="n">
        <v>2086</v>
      </c>
    </row>
    <row r="77" ht="16" customHeight="1">
      <c r="A77" s="2" t="inlineStr">
        <is>
          <t>02/13/2026</t>
        </is>
      </c>
      <c r="B77" s="2" t="n">
        <v>110795</v>
      </c>
      <c r="C77" s="2" t="n">
        <v>1074950</v>
      </c>
      <c r="D77" s="2" t="n">
        <v>1059280</v>
      </c>
      <c r="E77" s="2" t="n">
        <v>100.52</v>
      </c>
      <c r="F77" s="2" t="n">
        <v>78</v>
      </c>
      <c r="G77" s="2" t="n">
        <v>99.8</v>
      </c>
      <c r="H77" s="2" t="n">
        <v>76.36</v>
      </c>
      <c r="I77" s="2" t="n">
        <v>99.75</v>
      </c>
      <c r="J77" s="2" t="n">
        <v>1463</v>
      </c>
      <c r="K77" s="2" t="n">
        <v>1440.56</v>
      </c>
      <c r="L77" s="2" t="n">
        <v>32420</v>
      </c>
      <c r="M77" s="2" t="n">
        <v>10685</v>
      </c>
      <c r="N77" s="2" t="n">
        <v>10090</v>
      </c>
      <c r="O77" s="2" t="n">
        <v>60.39</v>
      </c>
      <c r="P77" s="2" t="n">
        <v>57.18</v>
      </c>
      <c r="Q77" s="2" t="n">
        <v>49.77</v>
      </c>
      <c r="R77" s="2" t="n">
        <v>13140</v>
      </c>
      <c r="S77" s="2" t="n">
        <v>19330</v>
      </c>
      <c r="T77" s="2" t="n">
        <v>24690</v>
      </c>
      <c r="U77" s="2" t="n">
        <v>46310</v>
      </c>
      <c r="V77" s="2" t="n">
        <v>22325</v>
      </c>
      <c r="W77" s="2" t="n">
        <v>23620</v>
      </c>
      <c r="X77" s="2" t="n">
        <v>13745</v>
      </c>
      <c r="Y77" s="2" t="n">
        <v>4090</v>
      </c>
      <c r="AA77" s="2" t="n">
        <v>247.83</v>
      </c>
      <c r="AB77" s="2" t="n">
        <v>31.61</v>
      </c>
      <c r="AC77" s="2" t="n">
        <v>80.2</v>
      </c>
      <c r="AD77" s="2" t="n">
        <v>133.88</v>
      </c>
      <c r="AE77" s="2" t="n">
        <v>227.26</v>
      </c>
      <c r="AF77" s="2" t="n">
        <v>68883.39999999999</v>
      </c>
      <c r="AG77" s="2" t="n">
        <v>2049.3</v>
      </c>
    </row>
    <row r="78" ht="16" customHeight="1">
      <c r="A78" s="2" t="inlineStr">
        <is>
          <t>02/12/2026</t>
        </is>
      </c>
      <c r="B78" s="2" t="n">
        <v>110745</v>
      </c>
      <c r="C78" s="2" t="n">
        <v>1074870</v>
      </c>
      <c r="D78" s="2" t="n">
        <v>1059115</v>
      </c>
      <c r="E78" s="2" t="n">
        <v>100.48</v>
      </c>
      <c r="F78" s="2" t="n">
        <v>75.72</v>
      </c>
      <c r="G78" s="2" t="n">
        <v>100.03</v>
      </c>
      <c r="H78" s="2" t="n">
        <v>75.25</v>
      </c>
      <c r="I78" s="2" t="n">
        <v>98.25</v>
      </c>
      <c r="J78" s="2" t="n">
        <v>1468</v>
      </c>
      <c r="K78" s="2" t="n">
        <v>1440.16</v>
      </c>
      <c r="L78" s="2" t="n">
        <v>33050</v>
      </c>
      <c r="M78" s="2" t="n">
        <v>10590</v>
      </c>
      <c r="N78" s="2" t="n">
        <v>9940</v>
      </c>
      <c r="O78" s="2" t="n">
        <v>60.21</v>
      </c>
      <c r="P78" s="2" t="n">
        <v>56.9</v>
      </c>
      <c r="Q78" s="2" t="n">
        <v>49.74</v>
      </c>
      <c r="R78" s="2" t="n">
        <v>13150</v>
      </c>
      <c r="S78" s="2" t="n">
        <v>19710</v>
      </c>
      <c r="T78" s="2" t="n">
        <v>25135</v>
      </c>
      <c r="U78" s="2" t="n">
        <v>46350</v>
      </c>
      <c r="V78" s="2" t="n">
        <v>22720</v>
      </c>
      <c r="W78" s="2" t="n">
        <v>24130</v>
      </c>
      <c r="X78" s="2" t="n">
        <v>13820</v>
      </c>
      <c r="Y78" s="2" t="n">
        <v>4115</v>
      </c>
      <c r="AA78" s="2" t="n">
        <v>247.32</v>
      </c>
      <c r="AB78" s="2" t="n">
        <v>31.34</v>
      </c>
      <c r="AC78" s="2" t="n">
        <v>80.16</v>
      </c>
      <c r="AD78" s="2" t="n">
        <v>123</v>
      </c>
      <c r="AE78" s="2" t="n">
        <v>226.52</v>
      </c>
      <c r="AF78" s="2" t="n">
        <v>66248.7</v>
      </c>
      <c r="AG78" s="2" t="n">
        <v>1947.86</v>
      </c>
    </row>
    <row r="79" ht="16" customHeight="1">
      <c r="A79" s="2" t="inlineStr">
        <is>
          <t>02/11/2026</t>
        </is>
      </c>
      <c r="B79" s="2" t="n">
        <v>110730</v>
      </c>
      <c r="C79" s="2" t="n">
        <v>1074385</v>
      </c>
      <c r="D79" s="2" t="n">
        <v>1058640</v>
      </c>
      <c r="E79" s="2" t="n">
        <v>100.46</v>
      </c>
      <c r="F79" s="2" t="n">
        <v>76.75</v>
      </c>
      <c r="G79" s="2" t="n">
        <v>100</v>
      </c>
      <c r="H79" s="2" t="n">
        <v>75</v>
      </c>
      <c r="I79" s="2" t="n">
        <v>97.8</v>
      </c>
      <c r="J79" s="2" t="n">
        <v>1478</v>
      </c>
      <c r="K79" s="2" t="n">
        <v>1446.12</v>
      </c>
      <c r="L79" s="2" t="n">
        <v>33215</v>
      </c>
      <c r="M79" s="2" t="n">
        <v>10695</v>
      </c>
      <c r="N79" s="2" t="n">
        <v>10050</v>
      </c>
      <c r="O79" s="2" t="n">
        <v>59.96</v>
      </c>
      <c r="P79" s="2" t="n">
        <v>56.23</v>
      </c>
      <c r="Q79" s="2" t="n">
        <v>49.69</v>
      </c>
      <c r="R79" s="2" t="n">
        <v>13240</v>
      </c>
      <c r="S79" s="2" t="n">
        <v>19505</v>
      </c>
      <c r="T79" s="2" t="n">
        <v>25275</v>
      </c>
      <c r="U79" s="2" t="n">
        <v>44735</v>
      </c>
      <c r="V79" s="2" t="n">
        <v>22855</v>
      </c>
      <c r="W79" s="2" t="n">
        <v>24245</v>
      </c>
      <c r="X79" s="2" t="n">
        <v>13945</v>
      </c>
      <c r="Y79" s="2" t="n">
        <v>4170</v>
      </c>
      <c r="AA79" s="2" t="n">
        <v>252.43</v>
      </c>
      <c r="AB79" s="2" t="n">
        <v>31.64</v>
      </c>
      <c r="AC79" s="2" t="n">
        <v>81.42</v>
      </c>
      <c r="AD79" s="2" t="n">
        <v>126.07</v>
      </c>
      <c r="AE79" s="2" t="n">
        <v>229.36</v>
      </c>
      <c r="AF79" s="2" t="n">
        <v>67048.8</v>
      </c>
      <c r="AG79" s="2" t="n">
        <v>1942.16</v>
      </c>
    </row>
    <row r="80" ht="16" customHeight="1">
      <c r="A80" s="2" t="inlineStr">
        <is>
          <t>02/10/2026</t>
        </is>
      </c>
      <c r="B80" s="2" t="n">
        <v>110720</v>
      </c>
      <c r="C80" s="2" t="n">
        <v>1074300</v>
      </c>
      <c r="D80" s="2" t="n">
        <v>1058570</v>
      </c>
      <c r="E80" s="2" t="n">
        <v>100.46</v>
      </c>
      <c r="F80" s="2" t="n">
        <v>77.15000000000001</v>
      </c>
      <c r="G80" s="2" t="n">
        <v>99.67</v>
      </c>
      <c r="H80" s="2" t="n">
        <v>74.84999999999999</v>
      </c>
      <c r="I80" s="2" t="n">
        <v>97.68000000000001</v>
      </c>
      <c r="J80" s="2" t="n">
        <v>1483</v>
      </c>
      <c r="K80" s="2" t="n">
        <v>1456.56</v>
      </c>
      <c r="L80" s="2" t="n">
        <v>33260</v>
      </c>
      <c r="M80" s="2" t="n">
        <v>10705</v>
      </c>
      <c r="N80" s="2" t="n">
        <v>10010</v>
      </c>
      <c r="O80" s="2" t="n">
        <v>60.08</v>
      </c>
      <c r="P80" s="2" t="n">
        <v>56.5</v>
      </c>
      <c r="Q80" s="2" t="n">
        <v>49.74</v>
      </c>
      <c r="R80" s="2" t="n">
        <v>13055</v>
      </c>
      <c r="S80" s="2" t="n">
        <v>19465</v>
      </c>
      <c r="T80" s="2" t="n">
        <v>25445</v>
      </c>
      <c r="U80" s="2" t="n">
        <v>44365</v>
      </c>
      <c r="V80" s="2" t="n">
        <v>23005</v>
      </c>
      <c r="W80" s="2" t="n">
        <v>24420</v>
      </c>
      <c r="X80" s="2" t="n">
        <v>14020</v>
      </c>
      <c r="Y80" s="2" t="n">
        <v>4080</v>
      </c>
      <c r="AA80" s="2" t="n">
        <v>251.78</v>
      </c>
      <c r="AB80" s="2" t="n">
        <v>31.3</v>
      </c>
      <c r="AC80" s="2" t="n">
        <v>81.43000000000001</v>
      </c>
      <c r="AD80" s="2" t="n">
        <v>133</v>
      </c>
      <c r="AE80" s="2" t="n">
        <v>229.08</v>
      </c>
      <c r="AF80" s="2" t="n">
        <v>68810.3</v>
      </c>
      <c r="AG80" s="2" t="n">
        <v>2020.18</v>
      </c>
    </row>
    <row r="81" ht="16" customHeight="1">
      <c r="A81" s="2" t="inlineStr">
        <is>
          <t>02/09/2026</t>
        </is>
      </c>
      <c r="B81" s="2" t="n">
        <v>110720</v>
      </c>
      <c r="C81" s="2" t="n">
        <v>1074215</v>
      </c>
      <c r="D81" s="2" t="n">
        <v>1058500</v>
      </c>
      <c r="E81" s="2" t="n">
        <v>100.45</v>
      </c>
      <c r="F81" s="2" t="n">
        <v>76.75</v>
      </c>
      <c r="G81" s="2" t="n">
        <v>99.72</v>
      </c>
      <c r="H81" s="2" t="n">
        <v>73.25</v>
      </c>
      <c r="I81" s="2" t="n">
        <v>98.02</v>
      </c>
      <c r="J81" s="2" t="n">
        <v>1477</v>
      </c>
      <c r="K81" s="2" t="n">
        <v>1457.66</v>
      </c>
      <c r="L81" s="2" t="n">
        <v>33360</v>
      </c>
      <c r="M81" s="2" t="n">
        <v>10690</v>
      </c>
      <c r="N81" s="2" t="n">
        <v>9945</v>
      </c>
      <c r="O81" s="2" t="n">
        <v>59.93</v>
      </c>
      <c r="P81" s="2" t="n">
        <v>55.94</v>
      </c>
      <c r="Q81" s="2" t="n">
        <v>49.73</v>
      </c>
      <c r="R81" s="2" t="n">
        <v>13025</v>
      </c>
      <c r="S81" s="2" t="n">
        <v>19980</v>
      </c>
      <c r="T81" s="2" t="n">
        <v>25380</v>
      </c>
      <c r="U81" s="2" t="n">
        <v>44335</v>
      </c>
      <c r="V81" s="2" t="n">
        <v>22945</v>
      </c>
      <c r="W81" s="2" t="n">
        <v>24295</v>
      </c>
      <c r="X81" s="2" t="n">
        <v>14000</v>
      </c>
      <c r="Y81" s="2" t="n">
        <v>4090</v>
      </c>
      <c r="AA81" s="2" t="n">
        <v>252.93</v>
      </c>
      <c r="AB81" s="2" t="n">
        <v>31.35</v>
      </c>
      <c r="AC81" s="2" t="n">
        <v>81.65000000000001</v>
      </c>
      <c r="AD81" s="2" t="n">
        <v>138.44</v>
      </c>
      <c r="AE81" s="2" t="n">
        <v>229.69</v>
      </c>
      <c r="AF81" s="2" t="n">
        <v>70127.89999999999</v>
      </c>
      <c r="AG81" s="2" t="n">
        <v>2104.66</v>
      </c>
    </row>
    <row r="82" ht="16" customHeight="1">
      <c r="A82" s="2" t="inlineStr">
        <is>
          <t>02/08/2026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>
        <v>1487</v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AA82" s="2" t="n"/>
      <c r="AB82" s="2" t="n"/>
      <c r="AC82" s="2" t="n"/>
      <c r="AD82" s="2" t="n"/>
      <c r="AE82" s="2" t="n"/>
      <c r="AF82" s="2" t="n">
        <v>70342</v>
      </c>
      <c r="AG82" s="2" t="n">
        <v>2090.37</v>
      </c>
    </row>
    <row r="83" ht="16" customHeight="1">
      <c r="A83" s="2" t="inlineStr">
        <is>
          <t>02/07/2026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>
        <v>1481</v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AA83" s="2" t="n"/>
      <c r="AB83" s="2" t="n"/>
      <c r="AC83" s="2" t="n"/>
      <c r="AD83" s="2" t="n"/>
      <c r="AE83" s="2" t="n"/>
      <c r="AF83" s="2" t="n">
        <v>69319.5</v>
      </c>
      <c r="AG83" s="2" t="n">
        <v>2091.88</v>
      </c>
    </row>
    <row r="84" ht="16" customHeight="1">
      <c r="A84" s="2" t="inlineStr">
        <is>
          <t>02/06/2026</t>
        </is>
      </c>
      <c r="B84" s="2" t="n">
        <v>110710</v>
      </c>
      <c r="C84" s="2" t="n">
        <v>1074130</v>
      </c>
      <c r="D84" s="2" t="n">
        <v>1058425</v>
      </c>
      <c r="E84" s="2" t="n">
        <v>100.43</v>
      </c>
      <c r="F84" s="2" t="n">
        <v>76.59</v>
      </c>
      <c r="G84" s="2" t="n">
        <v>98.76000000000001</v>
      </c>
      <c r="H84" s="2" t="n">
        <v>71.5</v>
      </c>
      <c r="I84" s="2" t="n">
        <v>97.76000000000001</v>
      </c>
      <c r="J84" s="2" t="n">
        <v>1488</v>
      </c>
      <c r="K84" s="2" t="n">
        <v>1463.56</v>
      </c>
      <c r="L84" s="2" t="n">
        <v>32530</v>
      </c>
      <c r="M84" s="2" t="n">
        <v>10785</v>
      </c>
      <c r="N84" s="2" t="n">
        <v>10050</v>
      </c>
      <c r="O84" s="2" t="n">
        <v>59.9</v>
      </c>
      <c r="P84" s="2" t="n">
        <v>55.92</v>
      </c>
      <c r="Q84" s="2" t="n">
        <v>49.7</v>
      </c>
      <c r="R84" s="2" t="n">
        <v>12640</v>
      </c>
      <c r="S84" s="2" t="n">
        <v>18930</v>
      </c>
      <c r="T84" s="2" t="n">
        <v>25000</v>
      </c>
      <c r="U84" s="2" t="n">
        <v>42505</v>
      </c>
      <c r="V84" s="2" t="n">
        <v>22605</v>
      </c>
      <c r="W84" s="2" t="n">
        <v>23885</v>
      </c>
      <c r="X84" s="2" t="n">
        <v>13930</v>
      </c>
      <c r="Y84" s="2" t="n">
        <v>4090</v>
      </c>
      <c r="AA84" s="2" t="n">
        <v>251.01</v>
      </c>
      <c r="AB84" s="2" t="n">
        <v>31.47</v>
      </c>
      <c r="AC84" s="2" t="n">
        <v>81.27</v>
      </c>
      <c r="AD84" s="2" t="n">
        <v>134.93</v>
      </c>
      <c r="AE84" s="2" t="n">
        <v>229.53</v>
      </c>
      <c r="AF84" s="2" t="n">
        <v>70555.7</v>
      </c>
      <c r="AG84" s="2" t="n">
        <v>2063.22</v>
      </c>
    </row>
    <row r="85" ht="16" customHeight="1">
      <c r="A85" s="2" t="inlineStr">
        <is>
          <t>02/05/2026</t>
        </is>
      </c>
      <c r="B85" s="2" t="n">
        <v>110685</v>
      </c>
      <c r="C85" s="2" t="n">
        <v>1074045</v>
      </c>
      <c r="D85" s="2" t="n">
        <v>1058315</v>
      </c>
      <c r="E85" s="2" t="n">
        <v>100.4</v>
      </c>
      <c r="F85" s="2" t="n">
        <v>72.25</v>
      </c>
      <c r="G85" s="2" t="n">
        <v>93.67</v>
      </c>
      <c r="H85" s="2" t="n">
        <v>68.23</v>
      </c>
      <c r="I85" s="2" t="n">
        <v>93.3</v>
      </c>
      <c r="J85" s="2" t="n">
        <v>1478</v>
      </c>
      <c r="K85" s="2" t="n">
        <v>1471.71</v>
      </c>
      <c r="L85" s="2" t="n">
        <v>33020</v>
      </c>
      <c r="M85" s="2" t="n">
        <v>10715</v>
      </c>
      <c r="N85" s="2" t="n">
        <v>9955</v>
      </c>
      <c r="O85" s="2" t="n">
        <v>59.93</v>
      </c>
      <c r="P85" s="2" t="n">
        <v>55.91</v>
      </c>
      <c r="Q85" s="2" t="n">
        <v>49.68</v>
      </c>
      <c r="R85" s="2" t="n">
        <v>12665</v>
      </c>
      <c r="S85" s="2" t="n">
        <v>19550</v>
      </c>
      <c r="T85" s="2" t="n">
        <v>25330</v>
      </c>
      <c r="U85" s="2" t="n">
        <v>42980</v>
      </c>
      <c r="V85" s="2" t="n">
        <v>22890</v>
      </c>
      <c r="W85" s="2" t="n">
        <v>24280</v>
      </c>
      <c r="X85" s="2" t="n">
        <v>14025</v>
      </c>
      <c r="Y85" s="2" t="n">
        <v>4190</v>
      </c>
      <c r="AA85" s="2" t="n">
        <v>245.83</v>
      </c>
      <c r="AB85" s="2" t="n">
        <v>30.97</v>
      </c>
      <c r="AC85" s="2" t="n">
        <v>79.70999999999999</v>
      </c>
      <c r="AD85" s="2" t="n">
        <v>106.99</v>
      </c>
      <c r="AE85" s="2" t="n">
        <v>224.62</v>
      </c>
      <c r="AF85" s="2" t="n">
        <v>62857.9</v>
      </c>
      <c r="AG85" s="2" t="n">
        <v>1826.72</v>
      </c>
    </row>
    <row r="86" ht="16" customHeight="1">
      <c r="A86" s="2" t="inlineStr">
        <is>
          <t>02/04/2026</t>
        </is>
      </c>
      <c r="B86" s="2" t="n">
        <v>110680</v>
      </c>
      <c r="C86" s="2" t="n">
        <v>1073815</v>
      </c>
      <c r="D86" s="2" t="n">
        <v>1058100</v>
      </c>
      <c r="E86" s="2" t="n">
        <v>100.4</v>
      </c>
      <c r="F86" s="2" t="n">
        <v>78.95</v>
      </c>
      <c r="G86" s="2" t="n">
        <v>97.98999999999999</v>
      </c>
      <c r="H86" s="2" t="n">
        <v>72.43000000000001</v>
      </c>
      <c r="I86" s="2" t="n">
        <v>97.98</v>
      </c>
      <c r="J86" s="2" t="n">
        <v>1476</v>
      </c>
      <c r="K86" s="2" t="n">
        <v>1462.12</v>
      </c>
      <c r="L86" s="2" t="n">
        <v>34155</v>
      </c>
      <c r="M86" s="2" t="n">
        <v>10580</v>
      </c>
      <c r="N86" s="2" t="n">
        <v>9840</v>
      </c>
      <c r="O86" s="2" t="n">
        <v>59.65</v>
      </c>
      <c r="P86" s="2" t="n">
        <v>55.35</v>
      </c>
      <c r="Q86" s="2" t="n">
        <v>49.63</v>
      </c>
      <c r="R86" s="2" t="n">
        <v>12495</v>
      </c>
      <c r="S86" s="2" t="n">
        <v>20440</v>
      </c>
      <c r="T86" s="2" t="n">
        <v>25180</v>
      </c>
      <c r="U86" s="2" t="n">
        <v>44875</v>
      </c>
      <c r="V86" s="2" t="n">
        <v>22760</v>
      </c>
      <c r="W86" s="2" t="n">
        <v>24390</v>
      </c>
      <c r="X86" s="2" t="n">
        <v>13880</v>
      </c>
      <c r="Y86" s="2" t="n">
        <v>4140</v>
      </c>
      <c r="AA86" s="2" t="n">
        <v>249.38</v>
      </c>
      <c r="AB86" s="2" t="n">
        <v>31.01</v>
      </c>
      <c r="AC86" s="2" t="n">
        <v>80.73999999999999</v>
      </c>
      <c r="AD86" s="2" t="n">
        <v>129.09</v>
      </c>
      <c r="AE86" s="2" t="n">
        <v>226.54</v>
      </c>
      <c r="AF86" s="2" t="n">
        <v>73137</v>
      </c>
      <c r="AG86" s="2" t="n">
        <v>2147.63</v>
      </c>
    </row>
    <row r="87" ht="16" customHeight="1">
      <c r="A87" s="2" t="inlineStr">
        <is>
          <t>02/03/2026</t>
        </is>
      </c>
      <c r="B87" s="2" t="n">
        <v>110670</v>
      </c>
      <c r="C87" s="2" t="n">
        <v>1073730</v>
      </c>
      <c r="D87" s="2" t="n">
        <v>1058005</v>
      </c>
      <c r="E87" s="2" t="n">
        <v>100.39</v>
      </c>
      <c r="F87" s="2" t="n">
        <v>81.25</v>
      </c>
      <c r="G87" s="2" t="n">
        <v>98.45999999999999</v>
      </c>
      <c r="H87" s="2" t="n">
        <v>70.88</v>
      </c>
      <c r="I87" s="2" t="n">
        <v>97.40000000000001</v>
      </c>
      <c r="J87" s="2" t="n">
        <v>1478</v>
      </c>
      <c r="K87" s="2" t="n">
        <v>1450.44</v>
      </c>
      <c r="L87" s="2" t="n">
        <v>33210</v>
      </c>
      <c r="M87" s="2" t="n">
        <v>10540</v>
      </c>
      <c r="N87" s="2" t="n">
        <v>9790</v>
      </c>
      <c r="O87" s="2" t="n">
        <v>59.65</v>
      </c>
      <c r="P87" s="2" t="n">
        <v>55.47</v>
      </c>
      <c r="Q87" s="2" t="n">
        <v>49.67</v>
      </c>
      <c r="R87" s="2" t="n">
        <v>12450</v>
      </c>
      <c r="S87" s="2" t="n">
        <v>20550</v>
      </c>
      <c r="T87" s="2" t="n">
        <v>25345</v>
      </c>
      <c r="U87" s="2" t="n">
        <v>44280</v>
      </c>
      <c r="V87" s="2" t="n">
        <v>22910</v>
      </c>
      <c r="W87" s="2" t="n">
        <v>24815</v>
      </c>
      <c r="X87" s="2" t="n">
        <v>13930</v>
      </c>
      <c r="Y87" s="2" t="n">
        <v>4025</v>
      </c>
      <c r="AA87" s="2" t="n">
        <v>253.81</v>
      </c>
      <c r="AB87" s="2" t="n">
        <v>30.5</v>
      </c>
      <c r="AC87" s="2" t="n">
        <v>81.13</v>
      </c>
      <c r="AD87" s="2" t="n">
        <v>133.26</v>
      </c>
      <c r="AE87" s="2" t="n">
        <v>225.33</v>
      </c>
      <c r="AF87" s="2" t="n">
        <v>75724.8</v>
      </c>
      <c r="AG87" s="2" t="n">
        <v>2233.65</v>
      </c>
    </row>
    <row r="88" ht="16" customHeight="1">
      <c r="A88" s="2" t="inlineStr">
        <is>
          <t>02/02/2026</t>
        </is>
      </c>
      <c r="B88" s="2" t="n">
        <v>110665</v>
      </c>
      <c r="C88" s="2" t="n">
        <v>1073645</v>
      </c>
      <c r="D88" s="2" t="n">
        <v>1057940</v>
      </c>
      <c r="E88" s="2" t="n">
        <v>100.37</v>
      </c>
      <c r="F88" s="2" t="n">
        <v>81.09999999999999</v>
      </c>
      <c r="G88" s="2" t="n">
        <v>99.05</v>
      </c>
      <c r="H88" s="2" t="n">
        <v>70.94</v>
      </c>
      <c r="I88" s="2" t="n">
        <v>98</v>
      </c>
      <c r="J88" s="2" t="n">
        <v>1483</v>
      </c>
      <c r="K88" s="2" t="n">
        <v>1454.47</v>
      </c>
      <c r="L88" s="2" t="n">
        <v>30900</v>
      </c>
      <c r="M88" s="2" t="n">
        <v>10720</v>
      </c>
      <c r="N88" s="2" t="n">
        <v>9995</v>
      </c>
      <c r="O88" s="2" t="n">
        <v>59.63</v>
      </c>
      <c r="P88" s="2" t="n">
        <v>55.38</v>
      </c>
      <c r="Q88" s="2" t="n">
        <v>49.64</v>
      </c>
      <c r="R88" s="2" t="n">
        <v>12495</v>
      </c>
      <c r="S88" s="2" t="n">
        <v>19705</v>
      </c>
      <c r="T88" s="2" t="n">
        <v>25120</v>
      </c>
      <c r="U88" s="2" t="n">
        <v>41155</v>
      </c>
      <c r="V88" s="2" t="n">
        <v>22705</v>
      </c>
      <c r="W88" s="2" t="n">
        <v>24405</v>
      </c>
      <c r="X88" s="2" t="n">
        <v>13960</v>
      </c>
      <c r="Y88" s="2" t="n">
        <v>3860</v>
      </c>
      <c r="AA88" s="2" t="n">
        <v>257.82</v>
      </c>
      <c r="AB88" s="2" t="n">
        <v>30</v>
      </c>
      <c r="AC88" s="2" t="n">
        <v>81.84</v>
      </c>
      <c r="AD88" s="2" t="n">
        <v>139.63</v>
      </c>
      <c r="AE88" s="2" t="n">
        <v>226.23</v>
      </c>
      <c r="AF88" s="2" t="n">
        <v>78720.60000000001</v>
      </c>
      <c r="AG88" s="2" t="n">
        <v>2345.93</v>
      </c>
    </row>
    <row r="89" ht="16" customHeight="1">
      <c r="A89" s="2" t="inlineStr">
        <is>
          <t>02/01/2026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>
        <v>1475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AA89" s="2" t="n"/>
      <c r="AB89" s="2" t="n"/>
      <c r="AC89" s="2" t="n"/>
      <c r="AD89" s="2" t="n"/>
      <c r="AE89" s="2" t="n"/>
      <c r="AF89" s="2" t="n">
        <v>76976.10000000001</v>
      </c>
      <c r="AG89" s="2" t="n">
        <v>2269.75</v>
      </c>
    </row>
    <row r="90" ht="16" customHeight="1">
      <c r="A90" s="2" t="inlineStr">
        <is>
          <t>01/31/2026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>
        <v>1493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AA90" s="2" t="n"/>
      <c r="AB90" s="2" t="n"/>
      <c r="AC90" s="2" t="n"/>
      <c r="AD90" s="2" t="n"/>
      <c r="AE90" s="2" t="n"/>
      <c r="AF90" s="2" t="n">
        <v>78726.5</v>
      </c>
      <c r="AG90" s="2" t="n">
        <v>2449.82</v>
      </c>
    </row>
    <row r="91" ht="16" customHeight="1">
      <c r="A91" s="2" t="inlineStr">
        <is>
          <t>01/30/2026</t>
        </is>
      </c>
      <c r="B91" s="2" t="n">
        <v>110655</v>
      </c>
      <c r="C91" s="2" t="n">
        <v>1073565</v>
      </c>
      <c r="D91" s="2" t="n">
        <v>1057890</v>
      </c>
      <c r="E91" s="2" t="n">
        <v>100.67</v>
      </c>
      <c r="F91" s="2" t="n">
        <v>84.98999999999999</v>
      </c>
      <c r="G91" s="2" t="n">
        <v>98.98999999999999</v>
      </c>
      <c r="H91" s="2" t="n">
        <v>72.84</v>
      </c>
      <c r="I91" s="2" t="n">
        <v>100</v>
      </c>
      <c r="J91" s="2" t="n">
        <v>1485</v>
      </c>
      <c r="K91" s="2" t="n">
        <v>1450.8</v>
      </c>
      <c r="L91" s="2" t="n">
        <v>35440</v>
      </c>
      <c r="M91" s="2" t="n">
        <v>10500</v>
      </c>
      <c r="N91" s="2" t="n">
        <v>9785</v>
      </c>
      <c r="O91" s="2" t="n">
        <v>59.9</v>
      </c>
      <c r="P91" s="2" t="n">
        <v>55.73</v>
      </c>
      <c r="Q91" s="2" t="n">
        <v>49.73</v>
      </c>
      <c r="R91" s="2" t="n">
        <v>12405</v>
      </c>
      <c r="S91" s="2" t="n">
        <v>20900</v>
      </c>
      <c r="T91" s="2" t="n">
        <v>24955</v>
      </c>
      <c r="U91" s="2" t="n">
        <v>43735</v>
      </c>
      <c r="V91" s="2" t="n">
        <v>22550</v>
      </c>
      <c r="W91" s="2" t="n">
        <v>24495</v>
      </c>
      <c r="X91" s="2" t="n">
        <v>13755</v>
      </c>
      <c r="Y91" s="2" t="n">
        <v>3985</v>
      </c>
      <c r="AA91" s="2" t="n">
        <v>256.05</v>
      </c>
      <c r="AB91" s="2" t="n">
        <v>29.82</v>
      </c>
      <c r="AC91" s="2" t="n">
        <v>81.40000000000001</v>
      </c>
      <c r="AD91" s="2" t="n">
        <v>149.71</v>
      </c>
      <c r="AE91" s="2" t="n">
        <v>224.02</v>
      </c>
      <c r="AF91" s="2" t="n">
        <v>84235.5</v>
      </c>
      <c r="AG91" s="2" t="n">
        <v>2707.26</v>
      </c>
    </row>
    <row r="92" ht="16" customHeight="1">
      <c r="A92" s="2" t="inlineStr">
        <is>
          <t>01/29/2026</t>
        </is>
      </c>
      <c r="B92" s="2" t="n">
        <v>110630</v>
      </c>
      <c r="C92" s="2" t="n">
        <v>1073495</v>
      </c>
      <c r="D92" s="2" t="n">
        <v>1057770</v>
      </c>
      <c r="E92" s="2" t="n">
        <v>100.65</v>
      </c>
      <c r="F92" s="2" t="n">
        <v>81.81999999999999</v>
      </c>
      <c r="G92" s="2" t="n">
        <v>98.19</v>
      </c>
      <c r="H92" s="2" t="n">
        <v>71.66</v>
      </c>
      <c r="I92" s="2" t="n">
        <v>96.5</v>
      </c>
      <c r="J92" s="2" t="n">
        <v>1466</v>
      </c>
      <c r="K92" s="2" t="n">
        <v>1431.7</v>
      </c>
      <c r="L92" s="2" t="n">
        <v>37890</v>
      </c>
      <c r="M92" s="2" t="n">
        <v>10410</v>
      </c>
      <c r="N92" s="2" t="n">
        <v>9700</v>
      </c>
      <c r="O92" s="2" t="n">
        <v>59.88</v>
      </c>
      <c r="P92" s="2" t="n">
        <v>55.97</v>
      </c>
      <c r="Q92" s="2" t="n">
        <v>49.67</v>
      </c>
      <c r="R92" s="2" t="n">
        <v>12395</v>
      </c>
      <c r="S92" s="2" t="n">
        <v>21355</v>
      </c>
      <c r="T92" s="2" t="n">
        <v>24970</v>
      </c>
      <c r="U92" s="2" t="n">
        <v>43540</v>
      </c>
      <c r="V92" s="2" t="n">
        <v>22580</v>
      </c>
      <c r="W92" s="2" t="n">
        <v>24705</v>
      </c>
      <c r="X92" s="2" t="n">
        <v>13655</v>
      </c>
      <c r="Y92" s="2" t="n">
        <v>4070</v>
      </c>
      <c r="AA92" s="2" t="n">
        <v>259.14</v>
      </c>
      <c r="AB92" s="2" t="n">
        <v>29.37</v>
      </c>
      <c r="AC92" s="2" t="n">
        <v>81.65000000000001</v>
      </c>
      <c r="AD92" s="2" t="n">
        <v>143.19</v>
      </c>
      <c r="AE92" s="2" t="n">
        <v>224.31</v>
      </c>
      <c r="AF92" s="2" t="n">
        <v>84667.10000000001</v>
      </c>
      <c r="AG92" s="2" t="n">
        <v>2822.63</v>
      </c>
    </row>
    <row r="93" ht="16" customHeight="1">
      <c r="A93" s="2" t="inlineStr">
        <is>
          <t>01/28/2026</t>
        </is>
      </c>
      <c r="B93" s="2" t="n">
        <v>110875</v>
      </c>
      <c r="C93" s="2" t="n">
        <v>1075850</v>
      </c>
      <c r="D93" s="2" t="n">
        <v>1057555</v>
      </c>
      <c r="E93" s="2" t="n">
        <v>100.64</v>
      </c>
      <c r="F93" s="2" t="n">
        <v>84.15000000000001</v>
      </c>
      <c r="G93" s="2" t="n">
        <v>98.98999999999999</v>
      </c>
      <c r="H93" s="2" t="n">
        <v>76.68000000000001</v>
      </c>
      <c r="I93" s="2" t="n">
        <v>97.90000000000001</v>
      </c>
      <c r="J93" s="2" t="n">
        <v>1447</v>
      </c>
      <c r="K93" s="2" t="n">
        <v>1430.38</v>
      </c>
      <c r="L93" s="2" t="n">
        <v>35315</v>
      </c>
      <c r="M93" s="2" t="n">
        <v>10450</v>
      </c>
      <c r="N93" s="2" t="n">
        <v>9785</v>
      </c>
      <c r="O93" s="2" t="n">
        <v>59.81</v>
      </c>
      <c r="P93" s="2" t="n">
        <v>55.95</v>
      </c>
      <c r="Q93" s="2" t="n">
        <v>49.61</v>
      </c>
      <c r="R93" s="2" t="n">
        <v>12440</v>
      </c>
      <c r="S93" s="2" t="n">
        <v>20750</v>
      </c>
      <c r="T93" s="2" t="n">
        <v>25030</v>
      </c>
      <c r="U93" s="2" t="n">
        <v>43000</v>
      </c>
      <c r="V93" s="2" t="n">
        <v>22695</v>
      </c>
      <c r="W93" s="2" t="n">
        <v>24755</v>
      </c>
      <c r="X93" s="2" t="n">
        <v>13675</v>
      </c>
      <c r="Y93" s="2" t="n">
        <v>3950</v>
      </c>
      <c r="AA93" s="2" t="n">
        <v>260.76</v>
      </c>
      <c r="AB93" s="2" t="n">
        <v>29.3</v>
      </c>
      <c r="AC93" s="2" t="n">
        <v>81.83</v>
      </c>
      <c r="AD93" s="2" t="n">
        <v>158.45</v>
      </c>
      <c r="AE93" s="2" t="n">
        <v>223.92</v>
      </c>
      <c r="AF93" s="2" t="n">
        <v>89253.2</v>
      </c>
      <c r="AG93" s="2" t="n">
        <v>3010.7</v>
      </c>
    </row>
    <row r="94" ht="16" customHeight="1">
      <c r="A94" s="2" t="inlineStr">
        <is>
          <t>01/27/2026</t>
        </is>
      </c>
      <c r="B94" s="2" t="n">
        <v>110870</v>
      </c>
      <c r="C94" s="2" t="n">
        <v>1075770</v>
      </c>
      <c r="D94" s="2" t="n">
        <v>1057470</v>
      </c>
      <c r="E94" s="2" t="n">
        <v>100.62</v>
      </c>
      <c r="F94" s="2" t="n">
        <v>84.8</v>
      </c>
      <c r="G94" s="2" t="n">
        <v>99.16</v>
      </c>
      <c r="H94" s="2" t="n">
        <v>76.81</v>
      </c>
      <c r="I94" s="2" t="n">
        <v>100.06</v>
      </c>
      <c r="J94" s="2" t="n">
        <v>1452</v>
      </c>
      <c r="K94" s="2" t="n">
        <v>1431.95</v>
      </c>
      <c r="L94" s="2" t="n">
        <v>34205</v>
      </c>
      <c r="M94" s="2" t="n">
        <v>10605</v>
      </c>
      <c r="N94" s="2" t="n">
        <v>9980</v>
      </c>
      <c r="O94" s="2" t="n">
        <v>59.84</v>
      </c>
      <c r="P94" s="2" t="n">
        <v>56.07</v>
      </c>
      <c r="Q94" s="2" t="n">
        <v>49.58</v>
      </c>
      <c r="R94" s="2" t="n">
        <v>12565</v>
      </c>
      <c r="S94" s="2" t="n">
        <v>19320</v>
      </c>
      <c r="T94" s="2" t="n">
        <v>25265</v>
      </c>
      <c r="U94" s="2" t="n">
        <v>42270</v>
      </c>
      <c r="V94" s="2" t="n">
        <v>22925</v>
      </c>
      <c r="W94" s="2" t="n">
        <v>24840</v>
      </c>
      <c r="X94" s="2" t="n">
        <v>13890</v>
      </c>
      <c r="Y94" s="2" t="n">
        <v>4005</v>
      </c>
      <c r="AA94" s="2" t="n">
        <v>259.85</v>
      </c>
      <c r="AB94" s="2" t="n">
        <v>29.37</v>
      </c>
      <c r="AC94" s="2" t="n">
        <v>81.84999999999999</v>
      </c>
      <c r="AD94" s="2" t="n">
        <v>161.58</v>
      </c>
      <c r="AE94" s="2" t="n">
        <v>224.45</v>
      </c>
      <c r="AF94" s="2" t="n">
        <v>89224.7</v>
      </c>
      <c r="AG94" s="2" t="n">
        <v>3026.7</v>
      </c>
    </row>
    <row r="95" ht="16" customHeight="1">
      <c r="A95" s="2" t="inlineStr">
        <is>
          <t>01/26/2026</t>
        </is>
      </c>
      <c r="B95" s="2" t="n">
        <v>110860</v>
      </c>
      <c r="C95" s="2" t="n">
        <v>1075690</v>
      </c>
      <c r="D95" s="2" t="n">
        <v>1057380</v>
      </c>
      <c r="E95" s="2" t="n">
        <v>100.62</v>
      </c>
      <c r="F95" s="2" t="n">
        <v>84.47</v>
      </c>
      <c r="G95" s="2" t="n">
        <v>99.05</v>
      </c>
      <c r="H95" s="2" t="n">
        <v>76.66</v>
      </c>
      <c r="I95" s="2" t="n">
        <v>100</v>
      </c>
      <c r="J95" s="2" t="n">
        <v>1467</v>
      </c>
      <c r="K95" s="2" t="n">
        <v>1445.86</v>
      </c>
      <c r="L95" s="2" t="n">
        <v>33380</v>
      </c>
      <c r="M95" s="2" t="n">
        <v>10585</v>
      </c>
      <c r="N95" s="2" t="n">
        <v>9960</v>
      </c>
      <c r="O95" s="2" t="n">
        <v>59.85</v>
      </c>
      <c r="P95" s="2" t="n">
        <v>56.36</v>
      </c>
      <c r="Q95" s="2" t="n">
        <v>49.53</v>
      </c>
      <c r="R95" s="2" t="n">
        <v>12605</v>
      </c>
      <c r="S95" s="2" t="n">
        <v>18810</v>
      </c>
      <c r="T95" s="2" t="n">
        <v>25010</v>
      </c>
      <c r="U95" s="2" t="n">
        <v>40825</v>
      </c>
      <c r="V95" s="2" t="n">
        <v>22680</v>
      </c>
      <c r="W95" s="2" t="n">
        <v>24515</v>
      </c>
      <c r="X95" s="2" t="n">
        <v>13760</v>
      </c>
      <c r="Y95" s="2" t="n">
        <v>3995</v>
      </c>
      <c r="AA95" s="2" t="n">
        <v>257.54</v>
      </c>
      <c r="AB95" s="2" t="n">
        <v>29.18</v>
      </c>
      <c r="AC95" s="2" t="n">
        <v>81.51000000000001</v>
      </c>
      <c r="AD95" s="2" t="n">
        <v>160.58</v>
      </c>
      <c r="AE95" s="2" t="n">
        <v>224.58</v>
      </c>
      <c r="AF95" s="2" t="n">
        <v>88331.3</v>
      </c>
      <c r="AG95" s="2" t="n">
        <v>2930.13</v>
      </c>
    </row>
    <row r="96" ht="16" customHeight="1">
      <c r="A96" s="2" t="inlineStr">
        <is>
          <t>01/25/2026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>
        <v>1482</v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AA96" s="2" t="n"/>
      <c r="AB96" s="2" t="n"/>
      <c r="AC96" s="2" t="n"/>
      <c r="AD96" s="2" t="n"/>
      <c r="AE96" s="2" t="n"/>
      <c r="AF96" s="2" t="n">
        <v>86642</v>
      </c>
      <c r="AG96" s="2" t="n">
        <v>2818.39</v>
      </c>
    </row>
    <row r="97" ht="16" customHeight="1">
      <c r="A97" s="2" t="inlineStr">
        <is>
          <t>01/24/2026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>
        <v>1476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AA97" s="2" t="n"/>
      <c r="AB97" s="2" t="n"/>
      <c r="AC97" s="2" t="n"/>
      <c r="AD97" s="2" t="n"/>
      <c r="AE97" s="2" t="n"/>
      <c r="AF97" s="2" t="n">
        <v>89254.89999999999</v>
      </c>
      <c r="AG97" s="2" t="n">
        <v>2953.25</v>
      </c>
    </row>
    <row r="98" ht="16" customHeight="1">
      <c r="A98" s="2" t="inlineStr">
        <is>
          <t>01/23/2026</t>
        </is>
      </c>
      <c r="B98" s="2" t="n">
        <v>110855</v>
      </c>
      <c r="C98" s="2" t="n">
        <v>1075610</v>
      </c>
      <c r="D98" s="2" t="n">
        <v>1057345</v>
      </c>
      <c r="E98" s="2" t="n">
        <v>100.61</v>
      </c>
      <c r="F98" s="2" t="n">
        <v>85.81</v>
      </c>
      <c r="G98" s="2" t="n">
        <v>99.5</v>
      </c>
      <c r="H98" s="2" t="n">
        <v>76.78</v>
      </c>
      <c r="I98" s="2" t="n">
        <v>101.4</v>
      </c>
      <c r="J98" s="2" t="n">
        <v>1472</v>
      </c>
      <c r="K98" s="2" t="n">
        <v>1446.36</v>
      </c>
      <c r="L98" s="2" t="n">
        <v>32875</v>
      </c>
      <c r="M98" s="2" t="n">
        <v>10750</v>
      </c>
      <c r="N98" s="2" t="n">
        <v>10095</v>
      </c>
      <c r="O98" s="2" t="n">
        <v>59.79</v>
      </c>
      <c r="P98" s="2" t="n">
        <v>56.11</v>
      </c>
      <c r="Q98" s="2" t="n">
        <v>49.53</v>
      </c>
      <c r="R98" s="2" t="n">
        <v>12560</v>
      </c>
      <c r="S98" s="2" t="n">
        <v>16885</v>
      </c>
      <c r="T98" s="2" t="n">
        <v>25515</v>
      </c>
      <c r="U98" s="2" t="n">
        <v>41230</v>
      </c>
      <c r="V98" s="2" t="n">
        <v>23130</v>
      </c>
      <c r="W98" s="2" t="n">
        <v>24955</v>
      </c>
      <c r="X98" s="2" t="n">
        <v>14040</v>
      </c>
      <c r="Y98" s="2" t="n">
        <v>3895</v>
      </c>
      <c r="AA98" s="2" t="n">
        <v>256.4</v>
      </c>
      <c r="AB98" s="2" t="n">
        <v>29.14</v>
      </c>
      <c r="AC98" s="2" t="n">
        <v>81.09999999999999</v>
      </c>
      <c r="AD98" s="2" t="n">
        <v>163.11</v>
      </c>
      <c r="AE98" s="2" t="n">
        <v>223.14</v>
      </c>
      <c r="AF98" s="2" t="n">
        <v>89580.60000000001</v>
      </c>
      <c r="AG98" s="2" t="n">
        <v>2956.47</v>
      </c>
    </row>
    <row r="99" ht="16" customHeight="1">
      <c r="A99" s="2" t="inlineStr">
        <is>
          <t>01/22/2026</t>
        </is>
      </c>
      <c r="B99" s="2" t="n">
        <v>110830</v>
      </c>
      <c r="C99" s="2" t="n">
        <v>1075530</v>
      </c>
      <c r="D99" s="2" t="n">
        <v>1057260</v>
      </c>
      <c r="E99" s="2" t="n">
        <v>100.58</v>
      </c>
      <c r="F99" s="2" t="n">
        <v>85.45999999999999</v>
      </c>
      <c r="G99" s="2" t="n">
        <v>99.70999999999999</v>
      </c>
      <c r="H99" s="2" t="n">
        <v>76.84</v>
      </c>
      <c r="I99" s="2" t="n">
        <v>101.23</v>
      </c>
      <c r="J99" s="2" t="n">
        <v>1484</v>
      </c>
      <c r="K99" s="2" t="n">
        <v>1464.13</v>
      </c>
      <c r="L99" s="2" t="n">
        <v>32175</v>
      </c>
      <c r="M99" s="2" t="n">
        <v>10760</v>
      </c>
      <c r="N99" s="2" t="n">
        <v>10045</v>
      </c>
      <c r="O99" s="2" t="n">
        <v>59.74</v>
      </c>
      <c r="P99" s="2" t="n">
        <v>56</v>
      </c>
      <c r="Q99" s="2" t="n">
        <v>49.46</v>
      </c>
      <c r="R99" s="2" t="n">
        <v>12655</v>
      </c>
      <c r="S99" s="2" t="n">
        <v>16210</v>
      </c>
      <c r="T99" s="2" t="n">
        <v>25410</v>
      </c>
      <c r="U99" s="2" t="n">
        <v>40990</v>
      </c>
      <c r="V99" s="2" t="n">
        <v>23030</v>
      </c>
      <c r="W99" s="2" t="n">
        <v>24795</v>
      </c>
      <c r="X99" s="2" t="n">
        <v>14005</v>
      </c>
      <c r="Y99" s="2" t="n">
        <v>3805</v>
      </c>
      <c r="AA99" s="2" t="n">
        <v>255.59</v>
      </c>
      <c r="AB99" s="2" t="n">
        <v>29.17</v>
      </c>
      <c r="AC99" s="2" t="n">
        <v>81.06</v>
      </c>
      <c r="AD99" s="2" t="n">
        <v>160.98</v>
      </c>
      <c r="AE99" s="2" t="n">
        <v>224.07</v>
      </c>
      <c r="AF99" s="2" t="n">
        <v>89520.5</v>
      </c>
      <c r="AG99" s="2" t="n">
        <v>2952.71</v>
      </c>
    </row>
    <row r="100" ht="16" customHeight="1">
      <c r="A100" s="2" t="inlineStr">
        <is>
          <t>01/21/2026</t>
        </is>
      </c>
      <c r="B100" s="2" t="n">
        <v>110820</v>
      </c>
      <c r="C100" s="2" t="n">
        <v>1075305</v>
      </c>
      <c r="D100" s="2" t="n">
        <v>1057020</v>
      </c>
      <c r="E100" s="2" t="n">
        <v>100.56</v>
      </c>
      <c r="F100" s="2" t="n">
        <v>84.40000000000001</v>
      </c>
      <c r="G100" s="2" t="n">
        <v>99.55</v>
      </c>
      <c r="H100" s="2" t="n">
        <v>76.68000000000001</v>
      </c>
      <c r="I100" s="2" t="n">
        <v>101.69</v>
      </c>
      <c r="J100" s="2" t="n">
        <v>1481</v>
      </c>
      <c r="K100" s="2" t="n">
        <v>1465.12</v>
      </c>
      <c r="L100" s="2" t="n">
        <v>32380</v>
      </c>
      <c r="M100" s="2" t="n">
        <v>10750</v>
      </c>
      <c r="N100" s="2" t="n">
        <v>10015</v>
      </c>
      <c r="O100" s="2" t="n">
        <v>59.77</v>
      </c>
      <c r="P100" s="2" t="n">
        <v>55.8</v>
      </c>
      <c r="Q100" s="2" t="n">
        <v>49.5</v>
      </c>
      <c r="R100" s="2" t="n">
        <v>12615</v>
      </c>
      <c r="S100" s="2" t="n">
        <v>15755</v>
      </c>
      <c r="T100" s="2" t="n">
        <v>25205</v>
      </c>
      <c r="U100" s="2" t="n">
        <v>40525</v>
      </c>
      <c r="V100" s="2" t="n">
        <v>22850</v>
      </c>
      <c r="W100" s="2" t="n">
        <v>24555</v>
      </c>
      <c r="X100" s="2" t="n">
        <v>13985</v>
      </c>
      <c r="Y100" s="2" t="n">
        <v>3775</v>
      </c>
      <c r="AA100" s="2" t="n">
        <v>253.7</v>
      </c>
      <c r="AB100" s="2" t="n">
        <v>29.15</v>
      </c>
      <c r="AC100" s="2" t="n">
        <v>80.64</v>
      </c>
      <c r="AD100" s="2" t="n">
        <v>163.81</v>
      </c>
      <c r="AE100" s="2" t="n">
        <v>223.88</v>
      </c>
      <c r="AF100" s="2" t="n">
        <v>89433.8</v>
      </c>
      <c r="AG100" s="2" t="n">
        <v>2982.26</v>
      </c>
    </row>
    <row r="101" ht="16" customHeight="1">
      <c r="A101" s="2" t="inlineStr">
        <is>
          <t>01/20/2026</t>
        </is>
      </c>
      <c r="B101" s="2" t="n">
        <v>110810</v>
      </c>
      <c r="C101" s="2" t="n">
        <v>1075220</v>
      </c>
      <c r="D101" s="2" t="n">
        <v>1056930</v>
      </c>
      <c r="E101" s="2" t="n">
        <v>100.56</v>
      </c>
      <c r="F101" s="2" t="n">
        <v>84.39</v>
      </c>
      <c r="G101" s="2" t="n">
        <v>99.12</v>
      </c>
      <c r="H101" s="2" t="n">
        <v>76.23</v>
      </c>
      <c r="I101" s="2" t="n">
        <v>100.35</v>
      </c>
      <c r="J101" s="2" t="n">
        <v>1490</v>
      </c>
      <c r="K101" s="2" t="n">
        <v>1480.86</v>
      </c>
      <c r="L101" s="2" t="n">
        <v>31555</v>
      </c>
      <c r="M101" s="2" t="n">
        <v>10815</v>
      </c>
      <c r="N101" s="2" t="n">
        <v>10060</v>
      </c>
      <c r="O101" s="2" t="n">
        <v>59.68</v>
      </c>
      <c r="P101" s="2" t="n">
        <v>55.42</v>
      </c>
      <c r="Q101" s="2" t="n">
        <v>49.46</v>
      </c>
      <c r="R101" s="2" t="n">
        <v>12810</v>
      </c>
      <c r="S101" s="2" t="n">
        <v>16530</v>
      </c>
      <c r="T101" s="2" t="n">
        <v>25455</v>
      </c>
      <c r="U101" s="2" t="n">
        <v>40205</v>
      </c>
      <c r="V101" s="2" t="n">
        <v>23070</v>
      </c>
      <c r="W101" s="2" t="n">
        <v>24750</v>
      </c>
      <c r="X101" s="2" t="n">
        <v>14090</v>
      </c>
      <c r="Y101" s="2" t="n">
        <v>3845</v>
      </c>
      <c r="AA101" s="2" t="n">
        <v>250.37</v>
      </c>
      <c r="AB101" s="2" t="n">
        <v>28.7</v>
      </c>
      <c r="AC101" s="2" t="n">
        <v>79.72</v>
      </c>
      <c r="AD101" s="2" t="n">
        <v>160.23</v>
      </c>
      <c r="AE101" s="2" t="n">
        <v>221.87</v>
      </c>
      <c r="AF101" s="2" t="n">
        <v>88400.3</v>
      </c>
      <c r="AG101" s="2" t="n">
        <v>2939.74</v>
      </c>
    </row>
    <row r="102" ht="16" customHeight="1">
      <c r="A102" s="2" t="inlineStr">
        <is>
          <t>01/19/2026</t>
        </is>
      </c>
      <c r="B102" s="2" t="n">
        <v>110805</v>
      </c>
      <c r="C102" s="2" t="n">
        <v>1075130</v>
      </c>
      <c r="D102" s="2" t="n">
        <v>1056860</v>
      </c>
      <c r="E102" s="2" t="n"/>
      <c r="F102" s="2" t="n"/>
      <c r="G102" s="2" t="n"/>
      <c r="H102" s="2" t="n"/>
      <c r="I102" s="2" t="n"/>
      <c r="J102" s="2" t="n">
        <v>1481</v>
      </c>
      <c r="K102" s="2" t="n">
        <v>1473.74</v>
      </c>
      <c r="L102" s="2" t="n">
        <v>31040</v>
      </c>
      <c r="M102" s="2" t="n">
        <v>10800</v>
      </c>
      <c r="N102" s="2" t="n">
        <v>10095</v>
      </c>
      <c r="O102" s="2" t="n"/>
      <c r="P102" s="2" t="n"/>
      <c r="Q102" s="2" t="n"/>
      <c r="R102" s="2" t="n">
        <v>12810</v>
      </c>
      <c r="S102" s="2" t="n">
        <v>16480</v>
      </c>
      <c r="T102" s="2" t="n">
        <v>25540</v>
      </c>
      <c r="U102" s="2" t="n">
        <v>40540</v>
      </c>
      <c r="V102" s="2" t="n">
        <v>23110</v>
      </c>
      <c r="W102" s="2" t="n">
        <v>24815</v>
      </c>
      <c r="X102" s="2" t="n">
        <v>14085</v>
      </c>
      <c r="Y102" s="2" t="n">
        <v>3795</v>
      </c>
      <c r="AA102" s="2" t="n"/>
      <c r="AB102" s="2" t="n"/>
      <c r="AC102" s="2" t="n"/>
      <c r="AD102" s="2" t="n"/>
      <c r="AE102" s="2" t="n"/>
      <c r="AF102" s="2" t="n">
        <v>92617.8</v>
      </c>
      <c r="AG102" s="2" t="n">
        <v>3189.54</v>
      </c>
    </row>
    <row r="103" ht="16" customHeight="1">
      <c r="A103" s="2" t="inlineStr">
        <is>
          <t>01/18/2026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>
        <v>1483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AA103" s="2" t="n"/>
      <c r="AB103" s="2" t="n"/>
      <c r="AC103" s="2" t="n"/>
      <c r="AD103" s="2" t="n"/>
      <c r="AE103" s="2" t="n"/>
      <c r="AF103" s="2" t="n">
        <v>93671.60000000001</v>
      </c>
      <c r="AG103" s="2" t="n">
        <v>3283.32</v>
      </c>
    </row>
    <row r="104" ht="16" customHeight="1">
      <c r="A104" s="2" t="inlineStr">
        <is>
          <t>01/17/2026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>
        <v>1476</v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AA104" s="2" t="n"/>
      <c r="AB104" s="2" t="n"/>
      <c r="AC104" s="2" t="n"/>
      <c r="AD104" s="2" t="n"/>
      <c r="AE104" s="2" t="n"/>
      <c r="AF104" s="2" t="n">
        <v>95141.39999999999</v>
      </c>
      <c r="AG104" s="2" t="n">
        <v>3310.44</v>
      </c>
    </row>
    <row r="105" ht="16" customHeight="1">
      <c r="A105" s="2" t="inlineStr">
        <is>
          <t>01/16/2026</t>
        </is>
      </c>
      <c r="B105" s="2" t="n">
        <v>110800</v>
      </c>
      <c r="C105" s="2" t="n">
        <v>1075050</v>
      </c>
      <c r="D105" s="2" t="n">
        <v>1056800</v>
      </c>
      <c r="E105" s="2" t="n">
        <v>100.56</v>
      </c>
      <c r="F105" s="2" t="n">
        <v>86.59</v>
      </c>
      <c r="G105" s="2" t="n">
        <v>100.01</v>
      </c>
      <c r="H105" s="2" t="n">
        <v>77.62</v>
      </c>
      <c r="I105" s="2" t="n">
        <v>104.75</v>
      </c>
      <c r="J105" s="2" t="n">
        <v>1477</v>
      </c>
      <c r="K105" s="2" t="n">
        <v>1473.58</v>
      </c>
      <c r="L105" s="2" t="n">
        <v>30695</v>
      </c>
      <c r="M105" s="2" t="n">
        <v>10860</v>
      </c>
      <c r="N105" s="2" t="n">
        <v>10205</v>
      </c>
      <c r="O105" s="2" t="n">
        <v>59.79</v>
      </c>
      <c r="P105" s="2" t="n">
        <v>56.07</v>
      </c>
      <c r="Q105" s="2" t="n">
        <v>49.46</v>
      </c>
      <c r="R105" s="2" t="n">
        <v>12745</v>
      </c>
      <c r="S105" s="2" t="n">
        <v>16320</v>
      </c>
      <c r="T105" s="2" t="n">
        <v>25790</v>
      </c>
      <c r="U105" s="2" t="n">
        <v>39960</v>
      </c>
      <c r="V105" s="2" t="n">
        <v>23380</v>
      </c>
      <c r="W105" s="2" t="n">
        <v>25155</v>
      </c>
      <c r="X105" s="2" t="n">
        <v>14145</v>
      </c>
      <c r="Y105" s="2" t="n">
        <v>3810</v>
      </c>
      <c r="AA105" s="2" t="n">
        <v>255.71</v>
      </c>
      <c r="AB105" s="2" t="n">
        <v>28.9</v>
      </c>
      <c r="AC105" s="2" t="n">
        <v>81.38</v>
      </c>
      <c r="AD105" s="2" t="n">
        <v>173.71</v>
      </c>
      <c r="AE105" s="2" t="n">
        <v>225.64</v>
      </c>
      <c r="AF105" s="2" t="n">
        <v>95549.60000000001</v>
      </c>
      <c r="AG105" s="2" t="n">
        <v>3296.37</v>
      </c>
    </row>
    <row r="106" ht="16" customHeight="1">
      <c r="A106" s="2" t="inlineStr">
        <is>
          <t>01/15/2026</t>
        </is>
      </c>
      <c r="B106" s="2" t="n">
        <v>110775</v>
      </c>
      <c r="C106" s="2" t="n">
        <v>1074965</v>
      </c>
      <c r="D106" s="2" t="n">
        <v>1056705</v>
      </c>
      <c r="E106" s="2" t="n">
        <v>100.52</v>
      </c>
      <c r="F106" s="2" t="n">
        <v>87.38</v>
      </c>
      <c r="G106" s="2" t="n">
        <v>99.98999999999999</v>
      </c>
      <c r="H106" s="2" t="n">
        <v>77.5</v>
      </c>
      <c r="I106" s="2" t="n">
        <v>104.38</v>
      </c>
      <c r="J106" s="2" t="n">
        <v>1473</v>
      </c>
      <c r="K106" s="2" t="n">
        <v>1470.05</v>
      </c>
      <c r="L106" s="2" t="n">
        <v>30645</v>
      </c>
      <c r="M106" s="2" t="n">
        <v>10835</v>
      </c>
      <c r="N106" s="2" t="n">
        <v>10170</v>
      </c>
      <c r="O106" s="2" t="n">
        <v>59.93</v>
      </c>
      <c r="P106" s="2" t="n">
        <v>56.4</v>
      </c>
      <c r="Q106" s="2" t="n">
        <v>49.48</v>
      </c>
      <c r="R106" s="2" t="n">
        <v>12695</v>
      </c>
      <c r="S106" s="2" t="n">
        <v>16140</v>
      </c>
      <c r="T106" s="2" t="n">
        <v>25615</v>
      </c>
      <c r="U106" s="2" t="n">
        <v>39520</v>
      </c>
      <c r="V106" s="2" t="n">
        <v>23220</v>
      </c>
      <c r="W106" s="2" t="n">
        <v>24980</v>
      </c>
      <c r="X106" s="2" t="n">
        <v>14095</v>
      </c>
      <c r="Y106" s="2" t="n">
        <v>3845</v>
      </c>
      <c r="AA106" s="2" t="n">
        <v>256</v>
      </c>
      <c r="AB106" s="2" t="n">
        <v>29.03</v>
      </c>
      <c r="AC106" s="2" t="n">
        <v>81.44</v>
      </c>
      <c r="AD106" s="2" t="n">
        <v>170.91</v>
      </c>
      <c r="AE106" s="2" t="n">
        <v>225.14</v>
      </c>
      <c r="AF106" s="2" t="n">
        <v>95585.10000000001</v>
      </c>
      <c r="AG106" s="2" t="n">
        <v>3318.51</v>
      </c>
    </row>
    <row r="107" ht="16" customHeight="1">
      <c r="A107" s="2" t="inlineStr">
        <is>
          <t>01/14/2026</t>
        </is>
      </c>
      <c r="B107" s="2" t="n">
        <v>110765</v>
      </c>
      <c r="C107" s="2" t="n">
        <v>1074720</v>
      </c>
      <c r="D107" s="2" t="n">
        <v>1056475</v>
      </c>
      <c r="E107" s="2" t="n">
        <v>100.51</v>
      </c>
      <c r="F107" s="2" t="n">
        <v>88</v>
      </c>
      <c r="G107" s="2" t="n">
        <v>100.05</v>
      </c>
      <c r="H107" s="2" t="n">
        <v>77.94</v>
      </c>
      <c r="I107" s="2" t="n">
        <v>104.15</v>
      </c>
      <c r="J107" s="2" t="n">
        <v>1465</v>
      </c>
      <c r="K107" s="2" t="n">
        <v>1462.95</v>
      </c>
      <c r="L107" s="2" t="n">
        <v>30955</v>
      </c>
      <c r="M107" s="2" t="n">
        <v>10870</v>
      </c>
      <c r="N107" s="2" t="n">
        <v>10150</v>
      </c>
      <c r="O107" s="2" t="n">
        <v>60.04</v>
      </c>
      <c r="P107" s="2" t="n">
        <v>56.43</v>
      </c>
      <c r="Q107" s="2" t="n">
        <v>49.53</v>
      </c>
      <c r="R107" s="2" t="n">
        <v>12585</v>
      </c>
      <c r="S107" s="2" t="n">
        <v>16015</v>
      </c>
      <c r="T107" s="2" t="n">
        <v>25785</v>
      </c>
      <c r="U107" s="2" t="n">
        <v>38885</v>
      </c>
      <c r="V107" s="2" t="n">
        <v>23370</v>
      </c>
      <c r="W107" s="2" t="n">
        <v>25245</v>
      </c>
      <c r="X107" s="2" t="n">
        <v>14160</v>
      </c>
      <c r="Y107" s="2" t="n">
        <v>3805</v>
      </c>
      <c r="AA107" s="2" t="n">
        <v>255.11</v>
      </c>
      <c r="AB107" s="2" t="n">
        <v>29.04</v>
      </c>
      <c r="AC107" s="2" t="n">
        <v>81.23999999999999</v>
      </c>
      <c r="AD107" s="2" t="n">
        <v>179.33</v>
      </c>
      <c r="AE107" s="2" t="n">
        <v>224.68</v>
      </c>
      <c r="AF107" s="2" t="n">
        <v>96934.5</v>
      </c>
      <c r="AG107" s="2" t="n">
        <v>3354.51</v>
      </c>
    </row>
    <row r="108" ht="16" customHeight="1">
      <c r="A108" s="2" t="inlineStr">
        <is>
          <t>01/13/2026</t>
        </is>
      </c>
      <c r="B108" s="2" t="n">
        <v>110750</v>
      </c>
      <c r="C108" s="2" t="n">
        <v>1074635</v>
      </c>
      <c r="D108" s="2" t="n">
        <v>1056395</v>
      </c>
      <c r="E108" s="2" t="n">
        <v>100.5</v>
      </c>
      <c r="F108" s="2" t="n">
        <v>87.67</v>
      </c>
      <c r="G108" s="2" t="n">
        <v>100.02</v>
      </c>
      <c r="H108" s="2" t="n">
        <v>78.5</v>
      </c>
      <c r="I108" s="2" t="n">
        <v>104.23</v>
      </c>
      <c r="J108" s="2" t="n">
        <v>1467</v>
      </c>
      <c r="K108" s="2" t="n">
        <v>1475.13</v>
      </c>
      <c r="L108" s="2" t="n">
        <v>30510</v>
      </c>
      <c r="M108" s="2" t="n">
        <v>10820</v>
      </c>
      <c r="N108" s="2" t="n">
        <v>10115</v>
      </c>
      <c r="O108" s="2" t="n">
        <v>59.96</v>
      </c>
      <c r="P108" s="2" t="n">
        <v>56.11</v>
      </c>
      <c r="Q108" s="2" t="n">
        <v>49.53</v>
      </c>
      <c r="R108" s="2" t="n">
        <v>12515</v>
      </c>
      <c r="S108" s="2" t="n">
        <v>16170</v>
      </c>
      <c r="T108" s="2" t="n">
        <v>25810</v>
      </c>
      <c r="U108" s="2" t="n">
        <v>38650</v>
      </c>
      <c r="V108" s="2" t="n">
        <v>23390</v>
      </c>
      <c r="W108" s="2" t="n">
        <v>25250</v>
      </c>
      <c r="X108" s="2" t="n">
        <v>14125</v>
      </c>
      <c r="Y108" s="2" t="n">
        <v>3865</v>
      </c>
      <c r="AA108" s="2" t="n">
        <v>257.84</v>
      </c>
      <c r="AB108" s="2" t="n">
        <v>28.62</v>
      </c>
      <c r="AC108" s="2" t="n">
        <v>81.62</v>
      </c>
      <c r="AD108" s="2" t="n">
        <v>172.99</v>
      </c>
      <c r="AE108" s="2" t="n">
        <v>224.8</v>
      </c>
      <c r="AF108" s="2" t="n">
        <v>95395.5</v>
      </c>
      <c r="AG108" s="2" t="n">
        <v>3325.69</v>
      </c>
    </row>
    <row r="109" ht="16" customHeight="1">
      <c r="A109" s="2" t="inlineStr">
        <is>
          <t>01/12/2026</t>
        </is>
      </c>
      <c r="B109" s="2" t="n">
        <v>110750</v>
      </c>
      <c r="C109" s="2" t="n">
        <v>1074550</v>
      </c>
      <c r="D109" s="2" t="n">
        <v>1056325</v>
      </c>
      <c r="E109" s="2" t="n">
        <v>100.49</v>
      </c>
      <c r="F109" s="2" t="n">
        <v>85.68000000000001</v>
      </c>
      <c r="G109" s="2" t="n">
        <v>100.07</v>
      </c>
      <c r="H109" s="2" t="n">
        <v>77.25</v>
      </c>
      <c r="I109" s="2" t="n">
        <v>104.29</v>
      </c>
      <c r="J109" s="2" t="n">
        <v>1475</v>
      </c>
      <c r="K109" s="2" t="n">
        <v>1466.93</v>
      </c>
      <c r="L109" s="2" t="n">
        <v>30340</v>
      </c>
      <c r="M109" s="2" t="n">
        <v>10790</v>
      </c>
      <c r="N109" s="2" t="n">
        <v>10050</v>
      </c>
      <c r="O109" s="2" t="n"/>
      <c r="P109" s="2" t="n">
        <v>56.03</v>
      </c>
      <c r="Q109" s="2" t="n">
        <v>49.51</v>
      </c>
      <c r="R109" s="2" t="n">
        <v>12520</v>
      </c>
      <c r="S109" s="2" t="n">
        <v>16175</v>
      </c>
      <c r="T109" s="2" t="n">
        <v>25545</v>
      </c>
      <c r="U109" s="2" t="n">
        <v>38175</v>
      </c>
      <c r="V109" s="2" t="n">
        <v>23155</v>
      </c>
      <c r="W109" s="2" t="n">
        <v>24950</v>
      </c>
      <c r="X109" s="2" t="n">
        <v>14045</v>
      </c>
      <c r="Y109" s="2" t="n">
        <v>3925</v>
      </c>
      <c r="AA109" s="2" t="n">
        <v>258.24</v>
      </c>
      <c r="AB109" s="2" t="n">
        <v>28.5</v>
      </c>
      <c r="AC109" s="2" t="n">
        <v>81.8</v>
      </c>
      <c r="AD109" s="2" t="n">
        <v>162.23</v>
      </c>
      <c r="AE109" s="2" t="n">
        <v>225.61</v>
      </c>
      <c r="AF109" s="2" t="n">
        <v>91271.89999999999</v>
      </c>
      <c r="AG109" s="2" t="n">
        <v>3095.64</v>
      </c>
    </row>
    <row r="110" ht="16" customHeight="1">
      <c r="A110" s="2" t="inlineStr">
        <is>
          <t>01/11/2026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>
        <v>1472</v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AA110" s="2" t="n"/>
      <c r="AB110" s="2" t="n"/>
      <c r="AC110" s="2" t="n"/>
      <c r="AD110" s="2" t="n"/>
      <c r="AE110" s="2" t="n"/>
      <c r="AF110" s="2" t="n">
        <v>90935.39999999999</v>
      </c>
      <c r="AG110" s="2" t="n">
        <v>3122.22</v>
      </c>
    </row>
    <row r="111" ht="16" customHeight="1">
      <c r="A111" s="2" t="inlineStr">
        <is>
          <t>01/10/2026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>
        <v>1474</v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AA111" s="2" t="n"/>
      <c r="AB111" s="2" t="n"/>
      <c r="AC111" s="2" t="n"/>
      <c r="AD111" s="2" t="n"/>
      <c r="AE111" s="2" t="n"/>
      <c r="AF111" s="2" t="n">
        <v>90485.10000000001</v>
      </c>
      <c r="AG111" s="2" t="n">
        <v>3086.66</v>
      </c>
    </row>
    <row r="112" ht="16" customHeight="1">
      <c r="A112" s="2" t="inlineStr">
        <is>
          <t>01/09/2026</t>
        </is>
      </c>
      <c r="B112" s="2" t="n">
        <v>110740</v>
      </c>
      <c r="C112" s="2" t="n">
        <v>1074465</v>
      </c>
      <c r="D112" s="2" t="n">
        <v>1056285</v>
      </c>
      <c r="E112" s="2" t="n">
        <v>100.47</v>
      </c>
      <c r="F112" s="2" t="n">
        <v>86.14</v>
      </c>
      <c r="G112" s="2" t="n">
        <v>100.03</v>
      </c>
      <c r="H112" s="2" t="n">
        <v>77.39</v>
      </c>
      <c r="I112" s="2" t="n">
        <v>105.07</v>
      </c>
      <c r="J112" s="2" t="n">
        <v>1473</v>
      </c>
      <c r="K112" s="2" t="n">
        <v>1457.24</v>
      </c>
      <c r="L112" s="2" t="n">
        <v>29425</v>
      </c>
      <c r="M112" s="2" t="n">
        <v>10720</v>
      </c>
      <c r="N112" s="2" t="n">
        <v>9980</v>
      </c>
      <c r="O112" s="2" t="n"/>
      <c r="P112" s="2" t="n">
        <v>56.17</v>
      </c>
      <c r="Q112" s="2" t="n">
        <v>49.5</v>
      </c>
      <c r="R112" s="2" t="n">
        <v>12510</v>
      </c>
      <c r="S112" s="2" t="n">
        <v>16235</v>
      </c>
      <c r="T112" s="2" t="n">
        <v>25345</v>
      </c>
      <c r="U112" s="2" t="n">
        <v>37945</v>
      </c>
      <c r="V112" s="2" t="n">
        <v>22975</v>
      </c>
      <c r="W112" s="2" t="n">
        <v>24755</v>
      </c>
      <c r="X112" s="2" t="n">
        <v>13945</v>
      </c>
      <c r="Y112" s="2" t="n">
        <v>3925</v>
      </c>
      <c r="AA112" s="2" t="n">
        <v>258.01</v>
      </c>
      <c r="AB112" s="2" t="n">
        <v>28.55</v>
      </c>
      <c r="AC112" s="2" t="n">
        <v>81.66</v>
      </c>
      <c r="AD112" s="2" t="n">
        <v>157.33</v>
      </c>
      <c r="AE112" s="2" t="n">
        <v>224.76</v>
      </c>
      <c r="AF112" s="2" t="n">
        <v>90605</v>
      </c>
      <c r="AG112" s="2" t="n">
        <v>3088.34</v>
      </c>
    </row>
    <row r="113" ht="16" customHeight="1">
      <c r="A113" s="2" t="inlineStr">
        <is>
          <t>01/08/2026</t>
        </is>
      </c>
      <c r="B113" s="2" t="n">
        <v>110720</v>
      </c>
      <c r="C113" s="2" t="n">
        <v>1074380</v>
      </c>
      <c r="D113" s="2" t="n">
        <v>1056180</v>
      </c>
      <c r="E113" s="2" t="n">
        <v>100.45</v>
      </c>
      <c r="F113" s="2" t="n">
        <v>86.76000000000001</v>
      </c>
      <c r="G113" s="2" t="n">
        <v>100.03</v>
      </c>
      <c r="H113" s="2" t="n">
        <v>77.8</v>
      </c>
      <c r="I113" s="2" t="n">
        <v>105.55</v>
      </c>
      <c r="J113" s="2" t="n">
        <v>1462</v>
      </c>
      <c r="K113" s="2" t="n">
        <v>1451.94</v>
      </c>
      <c r="L113" s="2" t="n">
        <v>29040</v>
      </c>
      <c r="M113" s="2" t="n">
        <v>10685</v>
      </c>
      <c r="N113" s="2" t="n">
        <v>9970</v>
      </c>
      <c r="O113" s="2" t="n"/>
      <c r="P113" s="2" t="n">
        <v>55.86</v>
      </c>
      <c r="Q113" s="2" t="n">
        <v>49.51</v>
      </c>
      <c r="R113" s="2" t="n">
        <v>12405</v>
      </c>
      <c r="S113" s="2" t="n">
        <v>16225</v>
      </c>
      <c r="T113" s="2" t="n">
        <v>25125</v>
      </c>
      <c r="U113" s="2" t="n">
        <v>37620</v>
      </c>
      <c r="V113" s="2" t="n">
        <v>22770</v>
      </c>
      <c r="W113" s="2" t="n">
        <v>24610</v>
      </c>
      <c r="X113" s="2" t="n">
        <v>13830</v>
      </c>
      <c r="Y113" s="2" t="n">
        <v>3845</v>
      </c>
      <c r="AA113" s="2" t="n">
        <v>255.45</v>
      </c>
      <c r="AB113" s="2" t="n">
        <v>28.42</v>
      </c>
      <c r="AC113" s="2" t="n">
        <v>81.12</v>
      </c>
      <c r="AD113" s="2" t="n">
        <v>166.97</v>
      </c>
      <c r="AE113" s="2" t="n">
        <v>223.22</v>
      </c>
      <c r="AF113" s="2" t="n">
        <v>91081.7</v>
      </c>
      <c r="AG113" s="2" t="n">
        <v>3106.41</v>
      </c>
    </row>
    <row r="114" ht="16" customHeight="1">
      <c r="A114" s="2" t="inlineStr">
        <is>
          <t>01/07/2026</t>
        </is>
      </c>
      <c r="B114" s="2" t="n">
        <v>110705</v>
      </c>
      <c r="C114" s="2" t="n">
        <v>1074145</v>
      </c>
      <c r="D114" s="2" t="n">
        <v>1055935</v>
      </c>
      <c r="E114" s="2" t="n">
        <v>100.44</v>
      </c>
      <c r="F114" s="2" t="n">
        <v>84.69</v>
      </c>
      <c r="G114" s="2" t="n">
        <v>99.98999999999999</v>
      </c>
      <c r="H114" s="2" t="n">
        <v>77</v>
      </c>
      <c r="I114" s="2" t="n">
        <v>104.31</v>
      </c>
      <c r="J114" s="2" t="n">
        <v>1456</v>
      </c>
      <c r="K114" s="2" t="n">
        <v>1448.71</v>
      </c>
      <c r="L114" s="2" t="n">
        <v>29315</v>
      </c>
      <c r="M114" s="2" t="n">
        <v>10630</v>
      </c>
      <c r="N114" s="2" t="n">
        <v>9890</v>
      </c>
      <c r="O114" s="2" t="n"/>
      <c r="P114" s="2" t="n">
        <v>56.14</v>
      </c>
      <c r="Q114" s="2" t="n">
        <v>49.52</v>
      </c>
      <c r="R114" s="2" t="n">
        <v>12465</v>
      </c>
      <c r="S114" s="2" t="n">
        <v>16225</v>
      </c>
      <c r="T114" s="2" t="n">
        <v>25235</v>
      </c>
      <c r="U114" s="2" t="n">
        <v>37655</v>
      </c>
      <c r="V114" s="2" t="n">
        <v>22865</v>
      </c>
      <c r="W114" s="2" t="n">
        <v>24650</v>
      </c>
      <c r="X114" s="2" t="n">
        <v>13860</v>
      </c>
      <c r="Y114" s="2" t="n">
        <v>3700</v>
      </c>
      <c r="AA114" s="2" t="n">
        <v>256.93</v>
      </c>
      <c r="AB114" s="2" t="n">
        <v>27.9</v>
      </c>
      <c r="AC114" s="2" t="n">
        <v>81.14</v>
      </c>
      <c r="AD114" s="2" t="n">
        <v>161.83</v>
      </c>
      <c r="AE114" s="2" t="n">
        <v>222.46</v>
      </c>
      <c r="AF114" s="2" t="n">
        <v>91342.60000000001</v>
      </c>
      <c r="AG114" s="2" t="n">
        <v>3168.74</v>
      </c>
    </row>
    <row r="115" ht="16" customHeight="1">
      <c r="A115" s="2" t="inlineStr">
        <is>
          <t>01/06/2026</t>
        </is>
      </c>
      <c r="B115" s="2" t="n">
        <v>110695</v>
      </c>
      <c r="C115" s="2" t="n">
        <v>1074050</v>
      </c>
      <c r="D115" s="2" t="n">
        <v>1055865</v>
      </c>
      <c r="E115" s="2" t="n">
        <v>100.43</v>
      </c>
      <c r="F115" s="2" t="n">
        <v>82.75</v>
      </c>
      <c r="G115" s="2" t="n">
        <v>99.97</v>
      </c>
      <c r="H115" s="2" t="n">
        <v>76.56999999999999</v>
      </c>
      <c r="I115" s="2" t="n">
        <v>104.49</v>
      </c>
      <c r="J115" s="2" t="n">
        <v>1452</v>
      </c>
      <c r="K115" s="2" t="n">
        <v>1446.98</v>
      </c>
      <c r="L115" s="2" t="n">
        <v>29605</v>
      </c>
      <c r="M115" s="2" t="n">
        <v>10610</v>
      </c>
      <c r="N115" s="2" t="n">
        <v>9850</v>
      </c>
      <c r="O115" s="2" t="n"/>
      <c r="P115" s="2" t="n">
        <v>55.84</v>
      </c>
      <c r="Q115" s="2" t="n">
        <v>49.52</v>
      </c>
      <c r="R115" s="2" t="n">
        <v>12385</v>
      </c>
      <c r="S115" s="2" t="n">
        <v>16370</v>
      </c>
      <c r="T115" s="2" t="n">
        <v>25120</v>
      </c>
      <c r="U115" s="2" t="n">
        <v>37360</v>
      </c>
      <c r="V115" s="2" t="n">
        <v>22755</v>
      </c>
      <c r="W115" s="2" t="n">
        <v>24520</v>
      </c>
      <c r="X115" s="2" t="n">
        <v>13830</v>
      </c>
      <c r="Y115" s="2" t="n">
        <v>3695</v>
      </c>
      <c r="AA115" s="2" t="n">
        <v>256.69</v>
      </c>
      <c r="AB115" s="2" t="n">
        <v>28.09</v>
      </c>
      <c r="AC115" s="2" t="n">
        <v>81.41</v>
      </c>
      <c r="AD115" s="2" t="n">
        <v>157.97</v>
      </c>
      <c r="AE115" s="2" t="n">
        <v>224.07</v>
      </c>
      <c r="AF115" s="2" t="n">
        <v>93739.3</v>
      </c>
      <c r="AG115" s="2" t="n">
        <v>3296.5</v>
      </c>
    </row>
    <row r="116" ht="16" customHeight="1">
      <c r="A116" s="2" t="inlineStr">
        <is>
          <t>01/05/2026</t>
        </is>
      </c>
      <c r="B116" s="2" t="n">
        <v>110690</v>
      </c>
      <c r="C116" s="2" t="n">
        <v>1073960</v>
      </c>
      <c r="D116" s="2" t="n">
        <v>1055790</v>
      </c>
      <c r="E116" s="2" t="n">
        <v>100.42</v>
      </c>
      <c r="F116" s="2" t="n">
        <v>85.48999999999999</v>
      </c>
      <c r="G116" s="2" t="n">
        <v>99.93000000000001</v>
      </c>
      <c r="H116" s="2" t="n">
        <v>76.72</v>
      </c>
      <c r="I116" s="2" t="n">
        <v>104.6</v>
      </c>
      <c r="J116" s="2" t="n">
        <v>1449</v>
      </c>
      <c r="K116" s="2" t="n">
        <v>1444.95</v>
      </c>
      <c r="L116" s="2" t="n">
        <v>29625</v>
      </c>
      <c r="M116" s="2" t="n">
        <v>10600</v>
      </c>
      <c r="N116" s="2" t="n">
        <v>9870</v>
      </c>
      <c r="O116" s="2" t="n"/>
      <c r="P116" s="2" t="n">
        <v>55.93</v>
      </c>
      <c r="Q116" s="2" t="n">
        <v>49.5</v>
      </c>
      <c r="R116" s="2" t="n">
        <v>12405</v>
      </c>
      <c r="S116" s="2" t="n">
        <v>16310</v>
      </c>
      <c r="T116" s="2" t="n">
        <v>24920</v>
      </c>
      <c r="U116" s="2" t="n">
        <v>36745</v>
      </c>
      <c r="V116" s="2" t="n">
        <v>22575</v>
      </c>
      <c r="W116" s="2" t="n">
        <v>24330</v>
      </c>
      <c r="X116" s="2" t="n">
        <v>13770</v>
      </c>
      <c r="Y116" s="2" t="n">
        <v>3705</v>
      </c>
      <c r="AA116" s="2" t="n">
        <v>254.43</v>
      </c>
      <c r="AB116" s="2" t="n">
        <v>27.91</v>
      </c>
      <c r="AC116" s="2" t="n">
        <v>80.92</v>
      </c>
      <c r="AD116" s="2" t="n">
        <v>164.72</v>
      </c>
      <c r="AE116" s="2" t="n">
        <v>221.93</v>
      </c>
      <c r="AF116" s="2" t="n">
        <v>93862.2</v>
      </c>
      <c r="AG116" s="2" t="n">
        <v>3224.79</v>
      </c>
    </row>
    <row r="117" ht="16" customHeight="1">
      <c r="A117" s="2" t="inlineStr">
        <is>
          <t>01/04/2026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>
        <v>1445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AA117" s="2" t="n"/>
      <c r="AB117" s="2" t="n"/>
      <c r="AC117" s="2" t="n"/>
      <c r="AD117" s="2" t="n"/>
      <c r="AE117" s="2" t="n"/>
      <c r="AF117" s="2" t="n">
        <v>91545.39999999999</v>
      </c>
      <c r="AG117" s="2" t="n">
        <v>3144.63</v>
      </c>
    </row>
    <row r="118" ht="16" customHeight="1">
      <c r="A118" s="2" t="inlineStr">
        <is>
          <t>01/03/2026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>
        <v>1447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AA118" s="2" t="n"/>
      <c r="AB118" s="2" t="n"/>
      <c r="AC118" s="2" t="n"/>
      <c r="AD118" s="2" t="n"/>
      <c r="AE118" s="2" t="n"/>
      <c r="AF118" s="2" t="n">
        <v>90621.89999999999</v>
      </c>
      <c r="AG118" s="2" t="n">
        <v>3127</v>
      </c>
    </row>
    <row r="119" ht="16" customHeight="1">
      <c r="A119" s="2" t="inlineStr">
        <is>
          <t>01/02/2026</t>
        </is>
      </c>
      <c r="B119" s="2" t="n">
        <v>110685</v>
      </c>
      <c r="C119" s="2" t="n">
        <v>1073875</v>
      </c>
      <c r="D119" s="2" t="n">
        <v>1055705</v>
      </c>
      <c r="E119" s="2" t="n">
        <v>100.41</v>
      </c>
      <c r="F119" s="2" t="n">
        <v>83.44</v>
      </c>
      <c r="G119" s="2" t="n">
        <v>99.67</v>
      </c>
      <c r="H119" s="2" t="n">
        <v>75.59999999999999</v>
      </c>
      <c r="I119" s="2" t="n">
        <v>103.54</v>
      </c>
      <c r="J119" s="2" t="n">
        <v>1446</v>
      </c>
      <c r="K119" s="2" t="n">
        <v>1442.48</v>
      </c>
      <c r="L119" s="2" t="n">
        <v>29290</v>
      </c>
      <c r="M119" s="2" t="n">
        <v>10585</v>
      </c>
      <c r="N119" s="2" t="n">
        <v>9845</v>
      </c>
      <c r="O119" s="2" t="n"/>
      <c r="P119" s="2" t="n">
        <v>55.69</v>
      </c>
      <c r="Q119" s="2" t="n">
        <v>49.45</v>
      </c>
      <c r="R119" s="2" t="n">
        <v>12340</v>
      </c>
      <c r="S119" s="2" t="n">
        <v>16145</v>
      </c>
      <c r="T119" s="2" t="n">
        <v>24925</v>
      </c>
      <c r="U119" s="2" t="n">
        <v>35380</v>
      </c>
      <c r="V119" s="2" t="n">
        <v>22605</v>
      </c>
      <c r="W119" s="2" t="n">
        <v>24425</v>
      </c>
      <c r="X119" s="2" t="n">
        <v>13770</v>
      </c>
      <c r="Y119" s="2" t="n">
        <v>3735</v>
      </c>
      <c r="AA119" s="2" t="n">
        <v>252.44</v>
      </c>
      <c r="AB119" s="2" t="n">
        <v>27.73</v>
      </c>
      <c r="AC119" s="2" t="n">
        <v>80.39</v>
      </c>
      <c r="AD119" s="2" t="n">
        <v>157.16</v>
      </c>
      <c r="AE119" s="2" t="n">
        <v>220.6</v>
      </c>
      <c r="AF119" s="2" t="n">
        <v>89982.7</v>
      </c>
      <c r="AG119" s="2" t="n">
        <v>3125.08</v>
      </c>
    </row>
    <row r="120" ht="16" customHeight="1">
      <c r="A120" s="2" t="inlineStr">
        <is>
          <t>01/01/2026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>
        <v>1451</v>
      </c>
      <c r="K120" s="2" t="n">
        <v>1442.72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AA120" s="2" t="n"/>
      <c r="AB120" s="2" t="n"/>
      <c r="AC120" s="2" t="n"/>
      <c r="AD120" s="2" t="n"/>
      <c r="AE120" s="2" t="n"/>
      <c r="AF120" s="2" t="n">
        <v>88812.10000000001</v>
      </c>
      <c r="AG120" s="2" t="n">
        <v>3004.18</v>
      </c>
    </row>
    <row r="121" ht="16" customHeight="1">
      <c r="A121" s="2" t="inlineStr">
        <is>
          <t>12/31/2025</t>
        </is>
      </c>
      <c r="B121" s="2" t="n"/>
      <c r="C121" s="2" t="n"/>
      <c r="D121" s="2" t="n"/>
      <c r="E121" s="2" t="n">
        <v>100.38</v>
      </c>
      <c r="F121" s="2" t="n">
        <v>78.76000000000001</v>
      </c>
      <c r="G121" s="2" t="n">
        <v>98.79000000000001</v>
      </c>
      <c r="H121" s="2" t="n">
        <v>75.59</v>
      </c>
      <c r="I121" s="2" t="n">
        <v>101.05</v>
      </c>
      <c r="J121" s="2" t="n">
        <v>1459</v>
      </c>
      <c r="K121" s="2" t="n">
        <v>1440.62</v>
      </c>
      <c r="L121" s="2" t="n"/>
      <c r="M121" s="2" t="n"/>
      <c r="N121" s="2" t="n"/>
      <c r="O121" s="2" t="n"/>
      <c r="P121" s="2" t="n">
        <v>55.8</v>
      </c>
      <c r="Q121" s="2" t="n">
        <v>49.46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AA121" s="2" t="n">
        <v>252.92</v>
      </c>
      <c r="AB121" s="2" t="n">
        <v>27.43</v>
      </c>
      <c r="AC121" s="2" t="n">
        <v>80.22</v>
      </c>
      <c r="AD121" s="2" t="n">
        <v>151.95</v>
      </c>
      <c r="AE121" s="2" t="n">
        <v>219.78</v>
      </c>
      <c r="AF121" s="2" t="n">
        <v>87612.7</v>
      </c>
      <c r="AG121" s="2" t="n">
        <v>2971.69</v>
      </c>
    </row>
    <row r="122" ht="16" customHeight="1">
      <c r="A122" s="2" t="inlineStr">
        <is>
          <t>12/30/2025</t>
        </is>
      </c>
      <c r="B122" s="2" t="n">
        <v>110660</v>
      </c>
      <c r="C122" s="2" t="n">
        <v>1073795</v>
      </c>
      <c r="D122" s="2" t="n">
        <v>1055640</v>
      </c>
      <c r="E122" s="2" t="n">
        <v>100.37</v>
      </c>
      <c r="F122" s="2" t="n">
        <v>81.27</v>
      </c>
      <c r="G122" s="2" t="n">
        <v>98.98</v>
      </c>
      <c r="H122" s="2" t="n">
        <v>76.95999999999999</v>
      </c>
      <c r="I122" s="2" t="n">
        <v>103.44</v>
      </c>
      <c r="J122" s="2" t="n">
        <v>1452</v>
      </c>
      <c r="K122" s="2" t="n">
        <v>1438.4</v>
      </c>
      <c r="L122" s="2" t="n">
        <v>29005</v>
      </c>
      <c r="M122" s="2" t="n">
        <v>10605</v>
      </c>
      <c r="N122" s="2" t="n">
        <v>9930</v>
      </c>
      <c r="O122" s="2" t="n"/>
      <c r="P122" s="2" t="n">
        <v>56.14</v>
      </c>
      <c r="Q122" s="2" t="n">
        <v>49.47</v>
      </c>
      <c r="R122" s="2" t="n">
        <v>12430</v>
      </c>
      <c r="S122" s="2" t="n">
        <v>15740</v>
      </c>
      <c r="T122" s="2" t="n">
        <v>25000</v>
      </c>
      <c r="U122" s="2" t="n">
        <v>34400</v>
      </c>
      <c r="V122" s="2" t="n">
        <v>22630</v>
      </c>
      <c r="W122" s="2" t="n">
        <v>24450</v>
      </c>
      <c r="X122" s="2" t="n">
        <v>13795</v>
      </c>
      <c r="Y122" s="2" t="n">
        <v>3650</v>
      </c>
      <c r="AA122" s="2" t="n">
        <v>255.04</v>
      </c>
      <c r="AB122" s="2" t="n">
        <v>27.63</v>
      </c>
      <c r="AC122" s="2" t="n">
        <v>80.81999999999999</v>
      </c>
      <c r="AD122" s="2" t="n">
        <v>155.61</v>
      </c>
      <c r="AE122" s="2" t="n">
        <v>221.47</v>
      </c>
      <c r="AF122" s="2" t="n">
        <v>88469.60000000001</v>
      </c>
      <c r="AG122" s="2" t="n">
        <v>2974.63</v>
      </c>
    </row>
    <row r="123" ht="16" customHeight="1">
      <c r="A123" s="2" t="inlineStr">
        <is>
          <t>12/29/2025</t>
        </is>
      </c>
      <c r="B123" s="2" t="n">
        <v>110640</v>
      </c>
      <c r="C123" s="2" t="n">
        <v>1073545</v>
      </c>
      <c r="D123" s="2" t="n">
        <v>1055290</v>
      </c>
      <c r="E123" s="2" t="n">
        <v>100.36</v>
      </c>
      <c r="F123" s="2" t="n">
        <v>81.64</v>
      </c>
      <c r="G123" s="2" t="n">
        <v>98.79000000000001</v>
      </c>
      <c r="H123" s="2" t="n">
        <v>75.28</v>
      </c>
      <c r="I123" s="2" t="n">
        <v>103.5</v>
      </c>
      <c r="J123" s="2" t="n">
        <v>1457</v>
      </c>
      <c r="K123" s="2" t="n">
        <v>1435.7</v>
      </c>
      <c r="L123" s="2" t="n">
        <v>29645</v>
      </c>
      <c r="M123" s="2" t="n">
        <v>10520</v>
      </c>
      <c r="N123" s="2" t="n">
        <v>9860</v>
      </c>
      <c r="O123" s="2" t="n"/>
      <c r="P123" s="2" t="n">
        <v>56.22</v>
      </c>
      <c r="Q123" s="2" t="n">
        <v>49.46</v>
      </c>
      <c r="R123" s="2" t="n">
        <v>12390</v>
      </c>
      <c r="S123" s="2" t="n">
        <v>15890</v>
      </c>
      <c r="T123" s="2" t="n">
        <v>24900</v>
      </c>
      <c r="U123" s="2" t="n">
        <v>34270</v>
      </c>
      <c r="V123" s="2" t="n">
        <v>22560</v>
      </c>
      <c r="W123" s="2" t="n">
        <v>24405</v>
      </c>
      <c r="X123" s="2" t="n">
        <v>13710</v>
      </c>
      <c r="Y123" s="2" t="n">
        <v>3675</v>
      </c>
      <c r="AA123" s="2" t="n">
        <v>255.65</v>
      </c>
      <c r="AB123" s="2" t="n">
        <v>27.62</v>
      </c>
      <c r="AC123" s="2" t="n">
        <v>80.92</v>
      </c>
      <c r="AD123" s="2" t="n">
        <v>155.39</v>
      </c>
      <c r="AE123" s="2" t="n">
        <v>221.87</v>
      </c>
      <c r="AF123" s="2" t="n">
        <v>87217.7</v>
      </c>
      <c r="AG123" s="2" t="n">
        <v>2938.75</v>
      </c>
    </row>
    <row r="124" ht="16" customHeight="1">
      <c r="A124" s="2" t="inlineStr">
        <is>
          <t>12/28/2025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>
        <v>1456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AA124" s="2" t="n"/>
      <c r="AB124" s="2" t="n"/>
      <c r="AC124" s="2" t="n"/>
      <c r="AD124" s="2" t="n"/>
      <c r="AE124" s="2" t="n"/>
      <c r="AF124" s="2" t="n">
        <v>87904.3</v>
      </c>
      <c r="AG124" s="2" t="n">
        <v>2950.33</v>
      </c>
    </row>
    <row r="125" ht="16" customHeight="1">
      <c r="A125" s="2" t="inlineStr">
        <is>
          <t>12/27/2025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>
        <v>1461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AA125" s="2" t="n"/>
      <c r="AB125" s="2" t="n"/>
      <c r="AC125" s="2" t="n"/>
      <c r="AD125" s="2" t="n"/>
      <c r="AE125" s="2" t="n"/>
      <c r="AF125" s="2" t="n">
        <v>87850.8</v>
      </c>
      <c r="AG125" s="2" t="n">
        <v>2948.85</v>
      </c>
    </row>
    <row r="126" ht="16" customHeight="1">
      <c r="A126" s="2" t="inlineStr">
        <is>
          <t>12/26/2025</t>
        </is>
      </c>
      <c r="B126" s="2" t="n">
        <v>110855</v>
      </c>
      <c r="C126" s="2" t="n">
        <v>1075745</v>
      </c>
      <c r="D126" s="2" t="n">
        <v>1055140</v>
      </c>
      <c r="E126" s="2" t="n">
        <v>100.34</v>
      </c>
      <c r="F126" s="2" t="n">
        <v>82.23</v>
      </c>
      <c r="G126" s="2" t="n">
        <v>99.15000000000001</v>
      </c>
      <c r="H126" s="2" t="n">
        <v>76.45999999999999</v>
      </c>
      <c r="I126" s="2" t="n">
        <v>106.02</v>
      </c>
      <c r="J126" s="2" t="n">
        <v>1465</v>
      </c>
      <c r="K126" s="2" t="n">
        <v>1442.37</v>
      </c>
      <c r="L126" s="2" t="n">
        <v>30040</v>
      </c>
      <c r="M126" s="2" t="n">
        <v>10660</v>
      </c>
      <c r="N126" s="2" t="n">
        <v>10040</v>
      </c>
      <c r="O126" s="2" t="n"/>
      <c r="P126" s="2" t="n">
        <v>56.05</v>
      </c>
      <c r="Q126" s="2" t="n">
        <v>49.44</v>
      </c>
      <c r="R126" s="2" t="n">
        <v>12435</v>
      </c>
      <c r="S126" s="2" t="n">
        <v>15670</v>
      </c>
      <c r="T126" s="2" t="n">
        <v>25085</v>
      </c>
      <c r="U126" s="2" t="n">
        <v>33395</v>
      </c>
      <c r="V126" s="2" t="n">
        <v>22730</v>
      </c>
      <c r="W126" s="2" t="n">
        <v>24605</v>
      </c>
      <c r="X126" s="2" t="n">
        <v>14155</v>
      </c>
      <c r="Y126" s="2" t="n">
        <v>3685</v>
      </c>
      <c r="AA126" s="2" t="n">
        <v>256.88</v>
      </c>
      <c r="AB126" s="2" t="n">
        <v>27.64</v>
      </c>
      <c r="AC126" s="2" t="n">
        <v>81.22</v>
      </c>
      <c r="AD126" s="2" t="n">
        <v>158.81</v>
      </c>
      <c r="AE126" s="2" t="n">
        <v>222.5</v>
      </c>
      <c r="AF126" s="2" t="n">
        <v>87357.89999999999</v>
      </c>
      <c r="AG126" s="2" t="n">
        <v>2928.06</v>
      </c>
    </row>
    <row r="127" ht="16" customHeight="1">
      <c r="A127" s="2" t="inlineStr">
        <is>
          <t>12/25/2025</t>
        </is>
      </c>
      <c r="B127" s="2" t="n"/>
      <c r="C127" s="2" t="n"/>
      <c r="D127" s="2" t="n"/>
      <c r="E127" s="2" t="n">
        <v>100.31</v>
      </c>
      <c r="F127" s="2" t="n"/>
      <c r="G127" s="2" t="n"/>
      <c r="H127" s="2" t="n"/>
      <c r="I127" s="2" t="n"/>
      <c r="J127" s="2" t="n">
        <v>1472</v>
      </c>
      <c r="K127" s="2" t="n">
        <v>1446.12</v>
      </c>
      <c r="L127" s="2" t="n"/>
      <c r="M127" s="2" t="n"/>
      <c r="N127" s="2" t="n"/>
      <c r="O127" s="2" t="n"/>
      <c r="P127" s="2" t="n"/>
      <c r="Q127" s="2" t="n">
        <v>49.42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AA127" s="2" t="n"/>
      <c r="AB127" s="2" t="n"/>
      <c r="AC127" s="2" t="n">
        <v>81.45999999999999</v>
      </c>
      <c r="AD127" s="2" t="n"/>
      <c r="AE127" s="2" t="n">
        <v>222.39</v>
      </c>
      <c r="AF127" s="2" t="n">
        <v>87249.3</v>
      </c>
      <c r="AG127" s="2" t="n">
        <v>2904.44</v>
      </c>
    </row>
    <row r="128" ht="16" customHeight="1">
      <c r="A128" s="2" t="inlineStr">
        <is>
          <t>12/24/2025</t>
        </is>
      </c>
      <c r="B128" s="2" t="n">
        <v>110830</v>
      </c>
      <c r="C128" s="2" t="n">
        <v>1075660</v>
      </c>
      <c r="D128" s="2" t="n">
        <v>1055065</v>
      </c>
      <c r="E128" s="2" t="n">
        <v>100.31</v>
      </c>
      <c r="F128" s="2" t="n">
        <v>82.55</v>
      </c>
      <c r="G128" s="2" t="n">
        <v>98.95999999999999</v>
      </c>
      <c r="H128" s="2" t="n">
        <v>77.55</v>
      </c>
      <c r="I128" s="2" t="n">
        <v>106.2</v>
      </c>
      <c r="J128" s="2" t="n">
        <v>1474</v>
      </c>
      <c r="K128" s="2" t="n">
        <v>1446.48</v>
      </c>
      <c r="L128" s="2" t="n">
        <v>30180</v>
      </c>
      <c r="M128" s="2" t="n">
        <v>10690</v>
      </c>
      <c r="N128" s="2" t="n">
        <v>10030</v>
      </c>
      <c r="O128" s="2" t="n"/>
      <c r="P128" s="2" t="n">
        <v>56.15</v>
      </c>
      <c r="Q128" s="2" t="n">
        <v>49.42</v>
      </c>
      <c r="R128" s="2" t="n">
        <v>12335</v>
      </c>
      <c r="S128" s="2" t="n">
        <v>15550</v>
      </c>
      <c r="T128" s="2" t="n">
        <v>25165</v>
      </c>
      <c r="U128" s="2" t="n">
        <v>33095</v>
      </c>
      <c r="V128" s="2" t="n">
        <v>22795</v>
      </c>
      <c r="W128" s="2" t="n">
        <v>24700</v>
      </c>
      <c r="X128" s="2" t="n">
        <v>14200</v>
      </c>
      <c r="Y128" s="2" t="n">
        <v>3720</v>
      </c>
      <c r="AA128" s="2" t="n">
        <v>256.87</v>
      </c>
      <c r="AB128" s="2" t="n">
        <v>27.66</v>
      </c>
      <c r="AC128" s="2" t="n">
        <v>81.45999999999999</v>
      </c>
      <c r="AD128" s="2" t="n">
        <v>158.71</v>
      </c>
      <c r="AE128" s="2" t="n">
        <v>222.39</v>
      </c>
      <c r="AF128" s="2" t="n">
        <v>87656.8</v>
      </c>
      <c r="AG128" s="2" t="n">
        <v>2947.39</v>
      </c>
    </row>
    <row r="129" ht="16" customHeight="1">
      <c r="A129" s="2" t="inlineStr">
        <is>
          <t>12/23/2025</t>
        </is>
      </c>
      <c r="B129" s="2" t="n">
        <v>110810</v>
      </c>
      <c r="C129" s="2" t="n">
        <v>1075385</v>
      </c>
      <c r="D129" s="2" t="n">
        <v>1054790</v>
      </c>
      <c r="E129" s="2" t="n">
        <v>100.29</v>
      </c>
      <c r="F129" s="2" t="n">
        <v>82.95</v>
      </c>
      <c r="G129" s="2" t="n">
        <v>99</v>
      </c>
      <c r="H129" s="2" t="n">
        <v>77.8</v>
      </c>
      <c r="I129" s="2" t="n">
        <v>105.5</v>
      </c>
      <c r="J129" s="2" t="n">
        <v>1491</v>
      </c>
      <c r="K129" s="2" t="n">
        <v>1480.08</v>
      </c>
      <c r="L129" s="2" t="n">
        <v>30240</v>
      </c>
      <c r="M129" s="2" t="n">
        <v>10910</v>
      </c>
      <c r="N129" s="2" t="n">
        <v>10220</v>
      </c>
      <c r="O129" s="2" t="n"/>
      <c r="P129" s="2" t="n">
        <v>55.86</v>
      </c>
      <c r="Q129" s="2" t="n">
        <v>49.39</v>
      </c>
      <c r="R129" s="2" t="n">
        <v>12400</v>
      </c>
      <c r="S129" s="2" t="n">
        <v>15640</v>
      </c>
      <c r="T129" s="2" t="n">
        <v>25605</v>
      </c>
      <c r="U129" s="2" t="n">
        <v>33075</v>
      </c>
      <c r="V129" s="2" t="n">
        <v>23200</v>
      </c>
      <c r="W129" s="2" t="n">
        <v>25110</v>
      </c>
      <c r="X129" s="2" t="n">
        <v>14465</v>
      </c>
      <c r="Y129" s="2" t="n">
        <v>3745</v>
      </c>
      <c r="AA129" s="2" t="n">
        <v>256.18</v>
      </c>
      <c r="AB129" s="2" t="n">
        <v>27.54</v>
      </c>
      <c r="AC129" s="2" t="n">
        <v>81.18000000000001</v>
      </c>
      <c r="AD129" s="2" t="n">
        <v>157.88</v>
      </c>
      <c r="AE129" s="2" t="n">
        <v>221.24</v>
      </c>
      <c r="AF129" s="2" t="n">
        <v>87467.89999999999</v>
      </c>
      <c r="AG129" s="2" t="n">
        <v>2964.86</v>
      </c>
    </row>
    <row r="130" ht="16" customHeight="1">
      <c r="A130" s="2" t="inlineStr">
        <is>
          <t>12/22/2025</t>
        </is>
      </c>
      <c r="B130" s="2" t="n">
        <v>110810</v>
      </c>
      <c r="C130" s="2" t="n">
        <v>1075200</v>
      </c>
      <c r="D130" s="2" t="n">
        <v>1054515</v>
      </c>
      <c r="E130" s="2" t="n">
        <v>100.28</v>
      </c>
      <c r="F130" s="2" t="n">
        <v>82.97</v>
      </c>
      <c r="G130" s="2" t="n">
        <v>98.94</v>
      </c>
      <c r="H130" s="2" t="n">
        <v>78.05</v>
      </c>
      <c r="I130" s="2" t="n">
        <v>106.98</v>
      </c>
      <c r="J130" s="2" t="n">
        <v>1490</v>
      </c>
      <c r="K130" s="2" t="n">
        <v>1479.54</v>
      </c>
      <c r="L130" s="2" t="n">
        <v>29525</v>
      </c>
      <c r="M130" s="2" t="n">
        <v>10875</v>
      </c>
      <c r="N130" s="2" t="n">
        <v>10155</v>
      </c>
      <c r="O130" s="2" t="n"/>
      <c r="P130" s="2" t="n">
        <v>55.79</v>
      </c>
      <c r="Q130" s="2" t="n">
        <v>49.4</v>
      </c>
      <c r="R130" s="2" t="n">
        <v>12325</v>
      </c>
      <c r="S130" s="2" t="n">
        <v>15745</v>
      </c>
      <c r="T130" s="2" t="n">
        <v>25455</v>
      </c>
      <c r="U130" s="2" t="n">
        <v>32985</v>
      </c>
      <c r="V130" s="2" t="n">
        <v>23075</v>
      </c>
      <c r="W130" s="2" t="n">
        <v>25055</v>
      </c>
      <c r="X130" s="2" t="n">
        <v>14460</v>
      </c>
      <c r="Y130" s="2" t="n">
        <v>3775</v>
      </c>
      <c r="AA130" s="2" t="n">
        <v>254.93</v>
      </c>
      <c r="AB130" s="2" t="n">
        <v>27.62</v>
      </c>
      <c r="AC130" s="2" t="n">
        <v>80.81</v>
      </c>
      <c r="AD130" s="2" t="n">
        <v>164.32</v>
      </c>
      <c r="AE130" s="2" t="n">
        <v>220.95</v>
      </c>
      <c r="AF130" s="2" t="n">
        <v>88547.2</v>
      </c>
      <c r="AG130" s="2" t="n">
        <v>3007.61</v>
      </c>
    </row>
    <row r="131" ht="16" customHeight="1">
      <c r="A131" s="2" t="inlineStr">
        <is>
          <t>12/21/2025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>
        <v>1487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AA131" s="2" t="n"/>
      <c r="AB131" s="2" t="n"/>
      <c r="AC131" s="2" t="n"/>
      <c r="AD131" s="2" t="n"/>
      <c r="AE131" s="2" t="n"/>
      <c r="AF131" s="2" t="n">
        <v>88636.8</v>
      </c>
      <c r="AG131" s="2" t="n">
        <v>3001.84</v>
      </c>
    </row>
    <row r="132" ht="16" customHeight="1">
      <c r="A132" s="2" t="inlineStr">
        <is>
          <t>12/20/2025</t>
        </is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>
        <v>1488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AA132" s="2" t="n"/>
      <c r="AB132" s="2" t="n"/>
      <c r="AC132" s="2" t="n"/>
      <c r="AD132" s="2" t="n"/>
      <c r="AE132" s="2" t="n"/>
      <c r="AF132" s="2" t="n">
        <v>88364</v>
      </c>
      <c r="AG132" s="2" t="n">
        <v>2978.27</v>
      </c>
    </row>
    <row r="133" ht="16" customHeight="1">
      <c r="A133" s="2" t="inlineStr">
        <is>
          <t>12/19/2025</t>
        </is>
      </c>
      <c r="B133" s="2" t="n">
        <v>110805</v>
      </c>
      <c r="C133" s="2" t="n">
        <v>1075115</v>
      </c>
      <c r="D133" s="2" t="n">
        <v>1054470</v>
      </c>
      <c r="E133" s="2" t="n">
        <v>100.28</v>
      </c>
      <c r="F133" s="2" t="n">
        <v>82.59999999999999</v>
      </c>
      <c r="G133" s="2" t="n">
        <v>98.73999999999999</v>
      </c>
      <c r="H133" s="2" t="n">
        <v>77.51000000000001</v>
      </c>
      <c r="I133" s="2" t="n">
        <v>107.73</v>
      </c>
      <c r="J133" s="2" t="n">
        <v>1489</v>
      </c>
      <c r="K133" s="2" t="n">
        <v>1475.72</v>
      </c>
      <c r="L133" s="2" t="n">
        <v>29000</v>
      </c>
      <c r="M133" s="2" t="n">
        <v>10880</v>
      </c>
      <c r="N133" s="2" t="n">
        <v>10180</v>
      </c>
      <c r="O133" s="2" t="n"/>
      <c r="P133" s="2" t="n">
        <v>55.85</v>
      </c>
      <c r="Q133" s="2" t="n">
        <v>49.42</v>
      </c>
      <c r="R133" s="2" t="n">
        <v>12355</v>
      </c>
      <c r="S133" s="2" t="n">
        <v>15570</v>
      </c>
      <c r="T133" s="2" t="n">
        <v>25115</v>
      </c>
      <c r="U133" s="2" t="n">
        <v>32240</v>
      </c>
      <c r="V133" s="2" t="n">
        <v>22770</v>
      </c>
      <c r="W133" s="2" t="n">
        <v>24615</v>
      </c>
      <c r="X133" s="2" t="n">
        <v>14285</v>
      </c>
      <c r="Y133" s="2" t="n">
        <v>3805</v>
      </c>
      <c r="AA133" s="2" t="n">
        <v>254.1</v>
      </c>
      <c r="AB133" s="2" t="n">
        <v>27.46</v>
      </c>
      <c r="AC133" s="2" t="n">
        <v>80.3</v>
      </c>
      <c r="AD133" s="2" t="n">
        <v>164.82</v>
      </c>
      <c r="AE133" s="2" t="n">
        <v>220.66</v>
      </c>
      <c r="AF133" s="2" t="n">
        <v>88131.39999999999</v>
      </c>
      <c r="AG133" s="2" t="n">
        <v>2979.55</v>
      </c>
    </row>
    <row r="134" ht="16" customHeight="1">
      <c r="A134" s="2" t="inlineStr">
        <is>
          <t>12/18/2025</t>
        </is>
      </c>
      <c r="B134" s="2" t="n">
        <v>110775</v>
      </c>
      <c r="C134" s="2" t="n">
        <v>1075030</v>
      </c>
      <c r="D134" s="2" t="n">
        <v>1054375</v>
      </c>
      <c r="E134" s="2" t="n">
        <v>100.56</v>
      </c>
      <c r="F134" s="2" t="n">
        <v>82.48999999999999</v>
      </c>
      <c r="G134" s="2" t="n">
        <v>97.90000000000001</v>
      </c>
      <c r="H134" s="2" t="n">
        <v>75.48</v>
      </c>
      <c r="I134" s="2" t="n">
        <v>107.78</v>
      </c>
      <c r="J134" s="2" t="n">
        <v>1488</v>
      </c>
      <c r="K134" s="2" t="n">
        <v>1475.56</v>
      </c>
      <c r="L134" s="2" t="n">
        <v>29030</v>
      </c>
      <c r="M134" s="2" t="n">
        <v>10860</v>
      </c>
      <c r="N134" s="2" t="n">
        <v>10175</v>
      </c>
      <c r="O134" s="2" t="n"/>
      <c r="P134" s="2" t="n">
        <v>56.07</v>
      </c>
      <c r="Q134" s="2" t="n">
        <v>49.43</v>
      </c>
      <c r="R134" s="2" t="n">
        <v>12405</v>
      </c>
      <c r="S134" s="2" t="n">
        <v>15350</v>
      </c>
      <c r="T134" s="2" t="n">
        <v>24990</v>
      </c>
      <c r="U134" s="2" t="n">
        <v>32055</v>
      </c>
      <c r="V134" s="2" t="n">
        <v>22640</v>
      </c>
      <c r="W134" s="2" t="n">
        <v>24345</v>
      </c>
      <c r="X134" s="2" t="n">
        <v>14255</v>
      </c>
      <c r="Y134" s="2" t="n">
        <v>3850</v>
      </c>
      <c r="AA134" s="2" t="n">
        <v>250.76</v>
      </c>
      <c r="AB134" s="2" t="n">
        <v>27.48</v>
      </c>
      <c r="AC134" s="2" t="n">
        <v>79.58</v>
      </c>
      <c r="AD134" s="2" t="n">
        <v>158.24</v>
      </c>
      <c r="AE134" s="2" t="n">
        <v>219.37</v>
      </c>
      <c r="AF134" s="2" t="n">
        <v>85510.10000000001</v>
      </c>
      <c r="AG134" s="2" t="n">
        <v>2828.61</v>
      </c>
    </row>
    <row r="135" ht="16" customHeight="1">
      <c r="A135" s="2" t="inlineStr">
        <is>
          <t>12/17/2025</t>
        </is>
      </c>
      <c r="B135" s="2" t="n">
        <v>110765</v>
      </c>
      <c r="C135" s="2" t="n">
        <v>1074780</v>
      </c>
      <c r="D135" s="2" t="n">
        <v>1054125</v>
      </c>
      <c r="E135" s="2" t="n">
        <v>100.56</v>
      </c>
      <c r="F135" s="2" t="n">
        <v>82.90000000000001</v>
      </c>
      <c r="G135" s="2" t="n">
        <v>97.33</v>
      </c>
      <c r="H135" s="2" t="n">
        <v>74.40000000000001</v>
      </c>
      <c r="I135" s="2" t="n">
        <v>107.28</v>
      </c>
      <c r="J135" s="2" t="n">
        <v>1493</v>
      </c>
      <c r="K135" s="2" t="n">
        <v>1475.35</v>
      </c>
      <c r="L135" s="2" t="n">
        <v>29035</v>
      </c>
      <c r="M135" s="2" t="n">
        <v>10855</v>
      </c>
      <c r="N135" s="2" t="n">
        <v>10150</v>
      </c>
      <c r="O135" s="2" t="n"/>
      <c r="P135" s="2" t="n">
        <v>56.05</v>
      </c>
      <c r="Q135" s="2" t="n">
        <v>50.12</v>
      </c>
      <c r="R135" s="2" t="n">
        <v>12375</v>
      </c>
      <c r="S135" s="2" t="n">
        <v>15615</v>
      </c>
      <c r="T135" s="2" t="n">
        <v>25280</v>
      </c>
      <c r="U135" s="2" t="n">
        <v>32445</v>
      </c>
      <c r="V135" s="2" t="n">
        <v>22915</v>
      </c>
      <c r="W135" s="2" t="n">
        <v>24760</v>
      </c>
      <c r="X135" s="2" t="n">
        <v>14350</v>
      </c>
      <c r="Y135" s="2" t="n">
        <v>3860</v>
      </c>
      <c r="AA135" s="2" t="n">
        <v>247.19</v>
      </c>
      <c r="AB135" s="2" t="n">
        <v>27.6</v>
      </c>
      <c r="AC135" s="2" t="n">
        <v>78.95999999999999</v>
      </c>
      <c r="AD135" s="2" t="n">
        <v>160.38</v>
      </c>
      <c r="AE135" s="2" t="n">
        <v>218.99</v>
      </c>
      <c r="AF135" s="2" t="n">
        <v>86230.2</v>
      </c>
      <c r="AG135" s="2" t="n">
        <v>2833.42</v>
      </c>
    </row>
    <row r="136" ht="16" customHeight="1">
      <c r="A136" s="2" t="inlineStr">
        <is>
          <t>12/16/2025</t>
        </is>
      </c>
      <c r="B136" s="2" t="n">
        <v>110760</v>
      </c>
      <c r="C136" s="2" t="n">
        <v>1074695</v>
      </c>
      <c r="D136" s="2" t="n">
        <v>1054045</v>
      </c>
      <c r="E136" s="2" t="n">
        <v>100.54</v>
      </c>
      <c r="F136" s="2" t="n">
        <v>82.75</v>
      </c>
      <c r="G136" s="2" t="n">
        <v>97.84</v>
      </c>
      <c r="H136" s="2" t="n">
        <v>76.47</v>
      </c>
      <c r="I136" s="2" t="n">
        <v>107.24</v>
      </c>
      <c r="J136" s="2" t="n">
        <v>1487</v>
      </c>
      <c r="K136" s="2" t="n">
        <v>1473.03</v>
      </c>
      <c r="L136" s="2" t="n">
        <v>28660</v>
      </c>
      <c r="M136" s="2" t="n">
        <v>10860</v>
      </c>
      <c r="N136" s="2" t="n">
        <v>10145</v>
      </c>
      <c r="O136" s="2" t="n"/>
      <c r="P136" s="2" t="n">
        <v>56.1</v>
      </c>
      <c r="Q136" s="2" t="n">
        <v>50.09</v>
      </c>
      <c r="R136" s="2" t="n">
        <v>12480</v>
      </c>
      <c r="S136" s="2" t="n">
        <v>15695</v>
      </c>
      <c r="T136" s="2" t="n">
        <v>25135</v>
      </c>
      <c r="U136" s="2" t="n">
        <v>31835</v>
      </c>
      <c r="V136" s="2" t="n">
        <v>22790</v>
      </c>
      <c r="W136" s="2" t="n">
        <v>24435</v>
      </c>
      <c r="X136" s="2" t="n">
        <v>14300</v>
      </c>
      <c r="Y136" s="2" t="n">
        <v>3900</v>
      </c>
      <c r="AA136" s="2" t="n">
        <v>251.85</v>
      </c>
      <c r="AB136" s="2" t="n">
        <v>27.47</v>
      </c>
      <c r="AC136" s="2" t="n">
        <v>79.87</v>
      </c>
      <c r="AD136" s="2" t="n">
        <v>167.5</v>
      </c>
      <c r="AE136" s="2" t="n">
        <v>220.31</v>
      </c>
      <c r="AF136" s="2" t="n">
        <v>87853.39999999999</v>
      </c>
      <c r="AG136" s="2" t="n">
        <v>2962.31</v>
      </c>
    </row>
    <row r="137" ht="16" customHeight="1">
      <c r="A137" s="2" t="inlineStr">
        <is>
          <t>12/15/2025</t>
        </is>
      </c>
      <c r="B137" s="2" t="n">
        <v>110755</v>
      </c>
      <c r="C137" s="2" t="n">
        <v>1074615</v>
      </c>
      <c r="D137" s="2" t="n">
        <v>1053985</v>
      </c>
      <c r="E137" s="2" t="n">
        <v>100.53</v>
      </c>
      <c r="F137" s="2" t="n">
        <v>82.25</v>
      </c>
      <c r="G137" s="2" t="n">
        <v>97.7</v>
      </c>
      <c r="H137" s="2" t="n">
        <v>76.75</v>
      </c>
      <c r="I137" s="2" t="n">
        <v>106.45</v>
      </c>
      <c r="J137" s="2" t="n">
        <v>1493</v>
      </c>
      <c r="K137" s="2" t="n">
        <v>1468.77</v>
      </c>
      <c r="L137" s="2" t="n">
        <v>28940</v>
      </c>
      <c r="M137" s="2" t="n">
        <v>10800</v>
      </c>
      <c r="N137" s="2" t="n">
        <v>10095</v>
      </c>
      <c r="O137" s="2" t="n"/>
      <c r="P137" s="2" t="n">
        <v>55.82</v>
      </c>
      <c r="Q137" s="2" t="n">
        <v>50.11</v>
      </c>
      <c r="R137" s="2" t="n">
        <v>12405</v>
      </c>
      <c r="S137" s="2" t="n">
        <v>16110</v>
      </c>
      <c r="T137" s="2" t="n">
        <v>25290</v>
      </c>
      <c r="U137" s="2" t="n">
        <v>32540</v>
      </c>
      <c r="V137" s="2" t="n">
        <v>22915</v>
      </c>
      <c r="W137" s="2" t="n">
        <v>24735</v>
      </c>
      <c r="X137" s="2" t="n">
        <v>14330</v>
      </c>
      <c r="Y137" s="2" t="n">
        <v>4070</v>
      </c>
      <c r="AA137" s="2" t="n">
        <v>251.36</v>
      </c>
      <c r="AB137" s="2" t="n">
        <v>27.76</v>
      </c>
      <c r="AC137" s="2" t="n">
        <v>80.09</v>
      </c>
      <c r="AD137" s="2" t="n">
        <v>162.08</v>
      </c>
      <c r="AE137" s="2" t="n">
        <v>221.79</v>
      </c>
      <c r="AF137" s="2" t="n">
        <v>86428.60000000001</v>
      </c>
      <c r="AG137" s="2" t="n">
        <v>2964.91</v>
      </c>
    </row>
    <row r="138" ht="16" customHeight="1">
      <c r="A138" s="2" t="inlineStr">
        <is>
          <t>12/14/2025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>
        <v>1495</v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AA138" s="2" t="n"/>
      <c r="AB138" s="2" t="n"/>
      <c r="AC138" s="2" t="n"/>
      <c r="AD138" s="2" t="n"/>
      <c r="AE138" s="2" t="n"/>
      <c r="AF138" s="2" t="n">
        <v>88155.3</v>
      </c>
      <c r="AG138" s="2" t="n">
        <v>3062.53</v>
      </c>
    </row>
    <row r="139" ht="16" customHeight="1">
      <c r="A139" s="2" t="inlineStr">
        <is>
          <t>12/13/2025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>
        <v>1492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AA139" s="2" t="n"/>
      <c r="AB139" s="2" t="n"/>
      <c r="AC139" s="2" t="n"/>
      <c r="AD139" s="2" t="n"/>
      <c r="AE139" s="2" t="n"/>
      <c r="AF139" s="2" t="n">
        <v>90249.3</v>
      </c>
      <c r="AG139" s="2" t="n">
        <v>3114.69</v>
      </c>
    </row>
    <row r="140" ht="16" customHeight="1">
      <c r="A140" s="2" t="inlineStr">
        <is>
          <t>12/12/2025</t>
        </is>
      </c>
      <c r="B140" s="2" t="n">
        <v>110740</v>
      </c>
      <c r="C140" s="2" t="n">
        <v>1074535</v>
      </c>
      <c r="D140" s="2" t="n">
        <v>1053930</v>
      </c>
      <c r="E140" s="2" t="n">
        <v>100.53</v>
      </c>
      <c r="F140" s="2" t="n">
        <v>87.8</v>
      </c>
      <c r="G140" s="2" t="n">
        <v>99.06</v>
      </c>
      <c r="H140" s="2" t="n">
        <v>81.18000000000001</v>
      </c>
      <c r="I140" s="2" t="n">
        <v>109.75</v>
      </c>
      <c r="J140" s="2" t="n">
        <v>1494</v>
      </c>
      <c r="K140" s="2" t="n">
        <v>1474.91</v>
      </c>
      <c r="L140" s="2" t="n">
        <v>28515</v>
      </c>
      <c r="M140" s="2" t="n">
        <v>10845</v>
      </c>
      <c r="N140" s="2" t="n">
        <v>10170</v>
      </c>
      <c r="O140" s="2" t="n"/>
      <c r="P140" s="2" t="n">
        <v>55.76</v>
      </c>
      <c r="Q140" s="2" t="n">
        <v>50.12</v>
      </c>
      <c r="R140" s="2" t="n">
        <v>12400</v>
      </c>
      <c r="S140" s="2" t="n">
        <v>16110</v>
      </c>
      <c r="T140" s="2" t="n">
        <v>25555</v>
      </c>
      <c r="U140" s="2" t="n">
        <v>33310</v>
      </c>
      <c r="V140" s="2" t="n">
        <v>23160</v>
      </c>
      <c r="W140" s="2" t="n">
        <v>25170</v>
      </c>
      <c r="X140" s="2" t="n">
        <v>14395</v>
      </c>
      <c r="Y140" s="2" t="n">
        <v>3940</v>
      </c>
      <c r="AA140" s="2" t="n">
        <v>252.57</v>
      </c>
      <c r="AB140" s="2" t="n">
        <v>27.68</v>
      </c>
      <c r="AC140" s="2" t="n">
        <v>80.22</v>
      </c>
      <c r="AD140" s="2" t="n">
        <v>176.45</v>
      </c>
      <c r="AE140" s="2" t="n">
        <v>222.08</v>
      </c>
      <c r="AF140" s="2" t="n">
        <v>90272</v>
      </c>
      <c r="AG140" s="2" t="n">
        <v>3084.81</v>
      </c>
    </row>
    <row r="141" ht="16" customHeight="1">
      <c r="A141" s="2" t="inlineStr">
        <is>
          <t>12/11/2025</t>
        </is>
      </c>
      <c r="B141" s="2" t="n">
        <v>110720</v>
      </c>
      <c r="C141" s="2" t="n">
        <v>1074450</v>
      </c>
      <c r="D141" s="2" t="n">
        <v>1053845</v>
      </c>
      <c r="E141" s="2" t="n">
        <v>100.49</v>
      </c>
      <c r="F141" s="2" t="n">
        <v>88.27</v>
      </c>
      <c r="G141" s="2" t="n">
        <v>99.06999999999999</v>
      </c>
      <c r="H141" s="2" t="n">
        <v>81.17</v>
      </c>
      <c r="I141" s="2" t="n">
        <v>110.56</v>
      </c>
      <c r="J141" s="2" t="n">
        <v>1486</v>
      </c>
      <c r="K141" s="2" t="n">
        <v>1471.27</v>
      </c>
      <c r="L141" s="2" t="n">
        <v>28060</v>
      </c>
      <c r="M141" s="2" t="n">
        <v>10855</v>
      </c>
      <c r="N141" s="2" t="n">
        <v>10270</v>
      </c>
      <c r="O141" s="2" t="n"/>
      <c r="P141" s="2" t="n">
        <v>56.24</v>
      </c>
      <c r="Q141" s="2" t="n">
        <v>50.13</v>
      </c>
      <c r="R141" s="2" t="n">
        <v>12405</v>
      </c>
      <c r="S141" s="2" t="n">
        <v>16240</v>
      </c>
      <c r="T141" s="2" t="n">
        <v>25240</v>
      </c>
      <c r="U141" s="2" t="n">
        <v>32845</v>
      </c>
      <c r="V141" s="2" t="n">
        <v>22885</v>
      </c>
      <c r="W141" s="2" t="n">
        <v>24950</v>
      </c>
      <c r="X141" s="2" t="n">
        <v>14295</v>
      </c>
      <c r="Y141" s="2" t="n">
        <v>3910</v>
      </c>
      <c r="AA141" s="2" t="n">
        <v>257.55</v>
      </c>
      <c r="AB141" s="2" t="n">
        <v>27.68</v>
      </c>
      <c r="AC141" s="2" t="n">
        <v>81.06999999999999</v>
      </c>
      <c r="AD141" s="2" t="n">
        <v>183.3</v>
      </c>
      <c r="AE141" s="2" t="n">
        <v>224.45</v>
      </c>
      <c r="AF141" s="2" t="n">
        <v>92507.39999999999</v>
      </c>
      <c r="AG141" s="2" t="n">
        <v>3236.78</v>
      </c>
    </row>
    <row r="142" ht="16" customHeight="1">
      <c r="A142" s="2" t="inlineStr">
        <is>
          <t>12/10/2025</t>
        </is>
      </c>
      <c r="B142" s="2" t="n">
        <v>110715</v>
      </c>
      <c r="C142" s="2" t="n">
        <v>1074200</v>
      </c>
      <c r="D142" s="2" t="n">
        <v>1053575</v>
      </c>
      <c r="E142" s="2" t="n">
        <v>100.47</v>
      </c>
      <c r="F142" s="2" t="n">
        <v>87.59</v>
      </c>
      <c r="G142" s="2" t="n">
        <v>98.98</v>
      </c>
      <c r="H142" s="2" t="n">
        <v>80.95</v>
      </c>
      <c r="I142" s="2" t="n">
        <v>110.37</v>
      </c>
      <c r="J142" s="2" t="n">
        <v>1486</v>
      </c>
      <c r="K142" s="2" t="n">
        <v>1469.03</v>
      </c>
      <c r="L142" s="2" t="n">
        <v>28085</v>
      </c>
      <c r="M142" s="2" t="n">
        <v>10785</v>
      </c>
      <c r="N142" s="2" t="n">
        <v>10175</v>
      </c>
      <c r="O142" s="2" t="n"/>
      <c r="P142" s="2" t="n">
        <v>56.28</v>
      </c>
      <c r="Q142" s="2" t="n">
        <v>50.12</v>
      </c>
      <c r="R142" s="2" t="n">
        <v>12430</v>
      </c>
      <c r="S142" s="2" t="n">
        <v>16415</v>
      </c>
      <c r="T142" s="2" t="n">
        <v>25270</v>
      </c>
      <c r="U142" s="2" t="n">
        <v>33120</v>
      </c>
      <c r="V142" s="2" t="n">
        <v>22905</v>
      </c>
      <c r="W142" s="2" t="n">
        <v>25120</v>
      </c>
      <c r="X142" s="2" t="n">
        <v>14290</v>
      </c>
      <c r="Y142" s="2" t="n">
        <v>3855</v>
      </c>
      <c r="AA142" s="2" t="n">
        <v>258.39</v>
      </c>
      <c r="AB142" s="2" t="n">
        <v>27.57</v>
      </c>
      <c r="AC142" s="2" t="n">
        <v>80.88</v>
      </c>
      <c r="AD142" s="2" t="n">
        <v>184.64</v>
      </c>
      <c r="AE142" s="2" t="n">
        <v>222.78</v>
      </c>
      <c r="AF142" s="2" t="n">
        <v>91996.10000000001</v>
      </c>
      <c r="AG142" s="2" t="n">
        <v>3324.08</v>
      </c>
    </row>
    <row r="143" ht="16" customHeight="1">
      <c r="A143" s="2" t="inlineStr">
        <is>
          <t>12/09/2025</t>
        </is>
      </c>
      <c r="B143" s="2" t="n">
        <v>110705</v>
      </c>
      <c r="C143" s="2" t="n">
        <v>1074115</v>
      </c>
      <c r="D143" s="2" t="n">
        <v>1053515</v>
      </c>
      <c r="E143" s="2" t="n">
        <v>100.47</v>
      </c>
      <c r="F143" s="2" t="n">
        <v>86.02</v>
      </c>
      <c r="G143" s="2" t="n">
        <v>99.09</v>
      </c>
      <c r="H143" s="2" t="n">
        <v>80.68000000000001</v>
      </c>
      <c r="I143" s="2" t="n">
        <v>109.8</v>
      </c>
      <c r="J143" s="2" t="n">
        <v>1481</v>
      </c>
      <c r="K143" s="2" t="n">
        <v>1469.64</v>
      </c>
      <c r="L143" s="2" t="n">
        <v>27945</v>
      </c>
      <c r="M143" s="2" t="n">
        <v>10795</v>
      </c>
      <c r="N143" s="2" t="n">
        <v>10150</v>
      </c>
      <c r="O143" s="2" t="n"/>
      <c r="P143" s="2" t="n">
        <v>56.06</v>
      </c>
      <c r="Q143" s="2" t="n">
        <v>50.06</v>
      </c>
      <c r="R143" s="2" t="n">
        <v>12465</v>
      </c>
      <c r="S143" s="2" t="n">
        <v>16320</v>
      </c>
      <c r="T143" s="2" t="n">
        <v>25310</v>
      </c>
      <c r="U143" s="2" t="n">
        <v>33135</v>
      </c>
      <c r="V143" s="2" t="n">
        <v>22945</v>
      </c>
      <c r="W143" s="2" t="n">
        <v>25095</v>
      </c>
      <c r="X143" s="2" t="n">
        <v>14350</v>
      </c>
      <c r="Y143" s="2" t="n">
        <v>3845</v>
      </c>
      <c r="AA143" s="2" t="n">
        <v>257.35</v>
      </c>
      <c r="AB143" s="2" t="n">
        <v>27.46</v>
      </c>
      <c r="AC143" s="2" t="n">
        <v>80.36</v>
      </c>
      <c r="AD143" s="2" t="n">
        <v>188.99</v>
      </c>
      <c r="AE143" s="2" t="n">
        <v>220.41</v>
      </c>
      <c r="AF143" s="2" t="n">
        <v>92693</v>
      </c>
      <c r="AG143" s="2" t="n">
        <v>3318.54</v>
      </c>
    </row>
    <row r="144" ht="16" customHeight="1">
      <c r="A144" s="2" t="inlineStr">
        <is>
          <t>12/08/2025</t>
        </is>
      </c>
      <c r="B144" s="2" t="n">
        <v>110695</v>
      </c>
      <c r="C144" s="2" t="n">
        <v>1074030</v>
      </c>
      <c r="D144" s="2" t="n">
        <v>1053435</v>
      </c>
      <c r="E144" s="2" t="n">
        <v>100.46</v>
      </c>
      <c r="F144" s="2" t="n">
        <v>85.59999999999999</v>
      </c>
      <c r="G144" s="2" t="n">
        <v>98.53</v>
      </c>
      <c r="H144" s="2" t="n">
        <v>80.05</v>
      </c>
      <c r="I144" s="2" t="n">
        <v>110.02</v>
      </c>
      <c r="J144" s="2" t="n">
        <v>1490</v>
      </c>
      <c r="K144" s="2" t="n">
        <v>1469.61</v>
      </c>
      <c r="L144" s="2" t="n">
        <v>28145</v>
      </c>
      <c r="M144" s="2" t="n">
        <v>10795</v>
      </c>
      <c r="N144" s="2" t="n">
        <v>10150</v>
      </c>
      <c r="O144" s="2" t="n"/>
      <c r="P144" s="2" t="n">
        <v>56.03</v>
      </c>
      <c r="Q144" s="2" t="n">
        <v>50.11</v>
      </c>
      <c r="R144" s="2" t="n">
        <v>12515</v>
      </c>
      <c r="S144" s="2" t="n">
        <v>16280</v>
      </c>
      <c r="T144" s="2" t="n">
        <v>25340</v>
      </c>
      <c r="U144" s="2" t="n">
        <v>33320</v>
      </c>
      <c r="V144" s="2" t="n">
        <v>22980</v>
      </c>
      <c r="W144" s="2" t="n">
        <v>25150</v>
      </c>
      <c r="X144" s="2" t="n">
        <v>14310</v>
      </c>
      <c r="Y144" s="2" t="n">
        <v>3845</v>
      </c>
      <c r="AA144" s="2" t="n">
        <v>257.03</v>
      </c>
      <c r="AB144" s="2" t="n">
        <v>27.58</v>
      </c>
      <c r="AC144" s="2" t="n">
        <v>80.43000000000001</v>
      </c>
      <c r="AD144" s="2" t="n">
        <v>183.69</v>
      </c>
      <c r="AE144" s="2" t="n">
        <v>220.91</v>
      </c>
      <c r="AF144" s="2" t="n">
        <v>90636.2</v>
      </c>
      <c r="AG144" s="2" t="n">
        <v>3123.95</v>
      </c>
    </row>
    <row r="145" ht="16" customHeight="1">
      <c r="A145" s="2" t="inlineStr">
        <is>
          <t>12/07/2025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>
        <v>1496</v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AA145" s="2" t="n"/>
      <c r="AB145" s="2" t="n"/>
      <c r="AC145" s="2" t="n"/>
      <c r="AD145" s="2" t="n"/>
      <c r="AE145" s="2" t="n"/>
      <c r="AF145" s="2" t="n">
        <v>90413.60000000001</v>
      </c>
      <c r="AG145" s="2" t="n">
        <v>3059.95</v>
      </c>
    </row>
    <row r="146" ht="16" customHeight="1">
      <c r="A146" s="2" t="inlineStr">
        <is>
          <t>12/06/2025</t>
        </is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>
        <v>1497</v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AA146" s="2" t="n"/>
      <c r="AB146" s="2" t="n"/>
      <c r="AC146" s="2" t="n"/>
      <c r="AD146" s="2" t="n"/>
      <c r="AE146" s="2" t="n"/>
      <c r="AF146" s="2" t="n">
        <v>89209.8</v>
      </c>
      <c r="AG146" s="2" t="n">
        <v>3038.16</v>
      </c>
    </row>
    <row r="147" ht="16" customHeight="1">
      <c r="A147" s="2" t="inlineStr">
        <is>
          <t>12/05/2025</t>
        </is>
      </c>
      <c r="B147" s="2" t="n">
        <v>110690</v>
      </c>
      <c r="C147" s="2" t="n">
        <v>1073950</v>
      </c>
      <c r="D147" s="2" t="n">
        <v>1053370</v>
      </c>
      <c r="E147" s="2" t="n">
        <v>100.46</v>
      </c>
      <c r="F147" s="2" t="n">
        <v>84</v>
      </c>
      <c r="G147" s="2" t="n">
        <v>98.19</v>
      </c>
      <c r="H147" s="2" t="n">
        <v>79.3</v>
      </c>
      <c r="I147" s="2" t="n">
        <v>109.06</v>
      </c>
      <c r="J147" s="2" t="n">
        <v>1497</v>
      </c>
      <c r="K147" s="2" t="n">
        <v>1473.81</v>
      </c>
      <c r="L147" s="2" t="n">
        <v>28155</v>
      </c>
      <c r="M147" s="2" t="n">
        <v>10830</v>
      </c>
      <c r="N147" s="2" t="n">
        <v>10215</v>
      </c>
      <c r="O147" s="2" t="n"/>
      <c r="P147" s="2" t="n">
        <v>56.22</v>
      </c>
      <c r="Q147" s="2" t="n">
        <v>50.15</v>
      </c>
      <c r="R147" s="2" t="n">
        <v>12530</v>
      </c>
      <c r="S147" s="2" t="n">
        <v>16080</v>
      </c>
      <c r="T147" s="2" t="n">
        <v>25345</v>
      </c>
      <c r="U147" s="2" t="n">
        <v>32855</v>
      </c>
      <c r="V147" s="2" t="n">
        <v>22965</v>
      </c>
      <c r="W147" s="2" t="n">
        <v>25095</v>
      </c>
      <c r="X147" s="2" t="n">
        <v>14295</v>
      </c>
      <c r="Y147" s="2" t="n">
        <v>3870</v>
      </c>
      <c r="AA147" s="2" t="n">
        <v>257.53</v>
      </c>
      <c r="AB147" s="2" t="n">
        <v>27.71</v>
      </c>
      <c r="AC147" s="2" t="n">
        <v>80.66</v>
      </c>
      <c r="AD147" s="2" t="n">
        <v>178.99</v>
      </c>
      <c r="AE147" s="2" t="n">
        <v>221.59</v>
      </c>
      <c r="AF147" s="2" t="n">
        <v>89333.60000000001</v>
      </c>
      <c r="AG147" s="2" t="n">
        <v>3021.84</v>
      </c>
    </row>
    <row r="148" ht="16" customHeight="1">
      <c r="A148" s="2" t="inlineStr">
        <is>
          <t>12/04/2025</t>
        </is>
      </c>
      <c r="B148" s="2" t="n">
        <v>110665</v>
      </c>
      <c r="C148" s="2" t="n">
        <v>1073870</v>
      </c>
      <c r="D148" s="2" t="n">
        <v>1053285</v>
      </c>
      <c r="E148" s="2" t="n">
        <v>100.43</v>
      </c>
      <c r="F148" s="2" t="n">
        <v>86.98</v>
      </c>
      <c r="G148" s="2" t="n">
        <v>98.2</v>
      </c>
      <c r="H148" s="2" t="n">
        <v>80.13</v>
      </c>
      <c r="I148" s="2" t="n">
        <v>110.77</v>
      </c>
      <c r="J148" s="2" t="n">
        <v>1493</v>
      </c>
      <c r="K148" s="2" t="n">
        <v>1474.63</v>
      </c>
      <c r="L148" s="2" t="n">
        <v>27990</v>
      </c>
      <c r="M148" s="2" t="n">
        <v>10885</v>
      </c>
      <c r="N148" s="2" t="n">
        <v>10275</v>
      </c>
      <c r="O148" s="2" t="n"/>
      <c r="P148" s="2" t="n">
        <v>56.46</v>
      </c>
      <c r="Q148" s="2" t="n">
        <v>50.16</v>
      </c>
      <c r="R148" s="2" t="n">
        <v>12590</v>
      </c>
      <c r="S148" s="2" t="n">
        <v>16350</v>
      </c>
      <c r="T148" s="2" t="n">
        <v>25335</v>
      </c>
      <c r="U148" s="2" t="n">
        <v>32245</v>
      </c>
      <c r="V148" s="2" t="n">
        <v>22975</v>
      </c>
      <c r="W148" s="2" t="n">
        <v>25095</v>
      </c>
      <c r="X148" s="2" t="n">
        <v>14320</v>
      </c>
      <c r="Y148" s="2" t="n">
        <v>3885</v>
      </c>
      <c r="AA148" s="2" t="n">
        <v>256.46</v>
      </c>
      <c r="AB148" s="2" t="n">
        <v>27.75</v>
      </c>
      <c r="AC148" s="2" t="n">
        <v>80.53</v>
      </c>
      <c r="AD148" s="2" t="n">
        <v>186.01</v>
      </c>
      <c r="AE148" s="2" t="n">
        <v>221.26</v>
      </c>
      <c r="AF148" s="2" t="n">
        <v>92082.8</v>
      </c>
      <c r="AG148" s="2" t="n">
        <v>3133</v>
      </c>
    </row>
    <row r="149" ht="16" customHeight="1">
      <c r="A149" s="2" t="inlineStr">
        <is>
          <t>12/03/2025</t>
        </is>
      </c>
      <c r="B149" s="2" t="n">
        <v>110655</v>
      </c>
      <c r="C149" s="2" t="n">
        <v>1073625</v>
      </c>
      <c r="D149" s="2" t="n">
        <v>1053030</v>
      </c>
      <c r="E149" s="2" t="n">
        <v>100.41</v>
      </c>
      <c r="F149" s="2" t="n">
        <v>86.25</v>
      </c>
      <c r="G149" s="2" t="n">
        <v>98.2</v>
      </c>
      <c r="H149" s="2" t="n">
        <v>79.75</v>
      </c>
      <c r="I149" s="2" t="n">
        <v>108.62</v>
      </c>
      <c r="J149" s="2" t="n">
        <v>1487</v>
      </c>
      <c r="K149" s="2" t="n">
        <v>1466.08</v>
      </c>
      <c r="L149" s="2" t="n">
        <v>28020</v>
      </c>
      <c r="M149" s="2" t="n">
        <v>10850</v>
      </c>
      <c r="N149" s="2" t="n">
        <v>10255</v>
      </c>
      <c r="O149" s="2" t="n"/>
      <c r="P149" s="2" t="n">
        <v>56.74</v>
      </c>
      <c r="Q149" s="2" t="n">
        <v>50.18</v>
      </c>
      <c r="R149" s="2" t="n">
        <v>12570</v>
      </c>
      <c r="S149" s="2" t="n">
        <v>16465</v>
      </c>
      <c r="T149" s="2" t="n">
        <v>25205</v>
      </c>
      <c r="U149" s="2" t="n">
        <v>32345</v>
      </c>
      <c r="V149" s="2" t="n">
        <v>22855</v>
      </c>
      <c r="W149" s="2" t="n">
        <v>25010</v>
      </c>
      <c r="X149" s="2" t="n">
        <v>14255</v>
      </c>
      <c r="Y149" s="2" t="n">
        <v>3965</v>
      </c>
      <c r="AA149" s="2" t="n">
        <v>256.71</v>
      </c>
      <c r="AB149" s="2" t="n">
        <v>27.8</v>
      </c>
      <c r="AC149" s="2" t="n">
        <v>80.45999999999999</v>
      </c>
      <c r="AD149" s="2" t="n">
        <v>188.39</v>
      </c>
      <c r="AE149" s="2" t="n">
        <v>221.87</v>
      </c>
      <c r="AF149" s="2" t="n">
        <v>93437.2</v>
      </c>
      <c r="AG149" s="2" t="n">
        <v>3188.79</v>
      </c>
    </row>
    <row r="150" ht="16" customHeight="1">
      <c r="A150" s="2" t="inlineStr">
        <is>
          <t>12/02/2025</t>
        </is>
      </c>
      <c r="B150" s="2" t="n">
        <v>110650</v>
      </c>
      <c r="C150" s="2" t="n">
        <v>1073540</v>
      </c>
      <c r="D150" s="2" t="n">
        <v>1052945</v>
      </c>
      <c r="E150" s="2" t="n">
        <v>100.4</v>
      </c>
      <c r="F150" s="2" t="n">
        <v>85.61</v>
      </c>
      <c r="G150" s="2" t="n">
        <v>97.8</v>
      </c>
      <c r="H150" s="2" t="n">
        <v>78.84999999999999</v>
      </c>
      <c r="I150" s="2" t="n">
        <v>108.9</v>
      </c>
      <c r="J150" s="2" t="n">
        <v>1488</v>
      </c>
      <c r="K150" s="2" t="n">
        <v>1468.45</v>
      </c>
      <c r="L150" s="2" t="n">
        <v>28090</v>
      </c>
      <c r="M150" s="2" t="n">
        <v>10855</v>
      </c>
      <c r="N150" s="2" t="n">
        <v>10255</v>
      </c>
      <c r="O150" s="2" t="n"/>
      <c r="P150" s="2" t="n">
        <v>56.6</v>
      </c>
      <c r="Q150" s="2" t="n">
        <v>50.14</v>
      </c>
      <c r="R150" s="2" t="n">
        <v>12600</v>
      </c>
      <c r="S150" s="2" t="n">
        <v>16500</v>
      </c>
      <c r="T150" s="2" t="n">
        <v>25070</v>
      </c>
      <c r="U150" s="2" t="n">
        <v>31980</v>
      </c>
      <c r="V150" s="2" t="n">
        <v>22730</v>
      </c>
      <c r="W150" s="2" t="n">
        <v>24710</v>
      </c>
      <c r="X150" s="2" t="n">
        <v>14220</v>
      </c>
      <c r="Y150" s="2" t="n">
        <v>3875</v>
      </c>
      <c r="AA150" s="2" t="n">
        <v>256.09</v>
      </c>
      <c r="AB150" s="2" t="n">
        <v>27.4</v>
      </c>
      <c r="AC150" s="2" t="n">
        <v>80.18000000000001</v>
      </c>
      <c r="AD150" s="2" t="n">
        <v>181.33</v>
      </c>
      <c r="AE150" s="2" t="n">
        <v>220.32</v>
      </c>
      <c r="AF150" s="2" t="n">
        <v>91287.60000000001</v>
      </c>
      <c r="AG150" s="2" t="n">
        <v>2996.1</v>
      </c>
    </row>
    <row r="151" ht="16" customHeight="1">
      <c r="A151" s="2" t="inlineStr">
        <is>
          <t>12/01/2025</t>
        </is>
      </c>
      <c r="B151" s="2" t="n">
        <v>110640</v>
      </c>
      <c r="C151" s="2" t="n">
        <v>1073455</v>
      </c>
      <c r="D151" s="2" t="n">
        <v>1052870</v>
      </c>
      <c r="E151" s="2" t="n">
        <v>100.38</v>
      </c>
      <c r="F151" s="2" t="n">
        <v>83.64</v>
      </c>
      <c r="G151" s="2" t="n">
        <v>96.41</v>
      </c>
      <c r="H151" s="2" t="n">
        <v>77.59</v>
      </c>
      <c r="I151" s="2" t="n">
        <v>106.25</v>
      </c>
      <c r="J151" s="2" t="n">
        <v>1497</v>
      </c>
      <c r="K151" s="2" t="n">
        <v>1471.68</v>
      </c>
      <c r="L151" s="2" t="n">
        <v>28150</v>
      </c>
      <c r="M151" s="2" t="n">
        <v>10915</v>
      </c>
      <c r="N151" s="2" t="n">
        <v>10355</v>
      </c>
      <c r="O151" s="2" t="n"/>
      <c r="P151" s="2" t="n">
        <v>56.55</v>
      </c>
      <c r="Q151" s="2" t="n">
        <v>50.13</v>
      </c>
      <c r="R151" s="2" t="n">
        <v>12735</v>
      </c>
      <c r="S151" s="2" t="n">
        <v>16500</v>
      </c>
      <c r="T151" s="2" t="n">
        <v>25095</v>
      </c>
      <c r="U151" s="2" t="n">
        <v>31380</v>
      </c>
      <c r="V151" s="2" t="n">
        <v>22750</v>
      </c>
      <c r="W151" s="2" t="n">
        <v>24655</v>
      </c>
      <c r="X151" s="2" t="n">
        <v>14285</v>
      </c>
      <c r="Y151" s="2" t="n">
        <v>3870</v>
      </c>
      <c r="AA151" s="2" t="n">
        <v>254.13</v>
      </c>
      <c r="AB151" s="2" t="n">
        <v>27.53</v>
      </c>
      <c r="AC151" s="2" t="n">
        <v>80.03</v>
      </c>
      <c r="AD151" s="2" t="n">
        <v>171.42</v>
      </c>
      <c r="AE151" s="2" t="n">
        <v>220.54</v>
      </c>
      <c r="AF151" s="2" t="n">
        <v>86309.10000000001</v>
      </c>
      <c r="AG151" s="2" t="n">
        <v>2800.86</v>
      </c>
    </row>
    <row r="152" ht="16" customHeight="1">
      <c r="A152" s="2" t="inlineStr">
        <is>
          <t>11/30/2025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>
        <v>1501</v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AA152" s="2" t="n"/>
      <c r="AB152" s="2" t="n"/>
      <c r="AC152" s="2" t="n"/>
      <c r="AD152" s="2" t="n"/>
      <c r="AE152" s="2" t="n"/>
      <c r="AF152" s="2" t="n">
        <v>90374.2</v>
      </c>
      <c r="AG152" s="2" t="n">
        <v>2991.73</v>
      </c>
    </row>
    <row r="153" ht="16" customHeight="1">
      <c r="A153" s="2" t="inlineStr">
        <is>
          <t>11/29/2025</t>
        </is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>
        <v>1498</v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AA153" s="2" t="n"/>
      <c r="AB153" s="2" t="n"/>
      <c r="AC153" s="2" t="n"/>
      <c r="AD153" s="2" t="n"/>
      <c r="AE153" s="2" t="n"/>
      <c r="AF153" s="2" t="n">
        <v>90800.5</v>
      </c>
      <c r="AG153" s="2" t="n">
        <v>2989.11</v>
      </c>
    </row>
    <row r="154" ht="16" customHeight="1">
      <c r="A154" s="2" t="inlineStr">
        <is>
          <t>11/28/2025</t>
        </is>
      </c>
      <c r="B154" s="2" t="n">
        <v>110630</v>
      </c>
      <c r="C154" s="2" t="n">
        <v>1073380</v>
      </c>
      <c r="D154" s="2" t="n">
        <v>1052805</v>
      </c>
      <c r="E154" s="2" t="n">
        <v>100.67</v>
      </c>
      <c r="F154" s="2" t="n">
        <v>87.23999999999999</v>
      </c>
      <c r="G154" s="2" t="n">
        <v>96.66</v>
      </c>
      <c r="H154" s="2" t="n">
        <v>77.7</v>
      </c>
      <c r="I154" s="2" t="n">
        <v>108.72</v>
      </c>
      <c r="J154" s="2" t="n">
        <v>1499</v>
      </c>
      <c r="K154" s="2" t="n">
        <v>1467.62</v>
      </c>
      <c r="L154" s="2" t="n">
        <v>27880</v>
      </c>
      <c r="M154" s="2" t="n">
        <v>10945</v>
      </c>
      <c r="N154" s="2" t="n">
        <v>10395</v>
      </c>
      <c r="O154" s="2" t="n"/>
      <c r="P154" s="2" t="n">
        <v>57.4</v>
      </c>
      <c r="Q154" s="2" t="n">
        <v>50.15</v>
      </c>
      <c r="R154" s="2" t="n">
        <v>12710</v>
      </c>
      <c r="S154" s="2" t="n">
        <v>16230</v>
      </c>
      <c r="T154" s="2" t="n">
        <v>25190</v>
      </c>
      <c r="U154" s="2" t="n">
        <v>31430</v>
      </c>
      <c r="V154" s="2" t="n">
        <v>22885</v>
      </c>
      <c r="W154" s="2" t="n">
        <v>24750</v>
      </c>
      <c r="X154" s="2" t="n">
        <v>14305</v>
      </c>
      <c r="Y154" s="2" t="n">
        <v>3880</v>
      </c>
      <c r="AA154" s="2" t="n">
        <v>254.9</v>
      </c>
      <c r="AB154" s="2" t="n">
        <v>27.59</v>
      </c>
      <c r="AC154" s="2" t="n">
        <v>80.39</v>
      </c>
      <c r="AD154" s="2" t="n">
        <v>177.18</v>
      </c>
      <c r="AE154" s="2" t="n">
        <v>222.67</v>
      </c>
      <c r="AF154" s="2" t="n">
        <v>90894.7</v>
      </c>
      <c r="AG154" s="2" t="n">
        <v>3031.22</v>
      </c>
    </row>
    <row r="155" ht="16" customHeight="1">
      <c r="A155" s="2" t="inlineStr">
        <is>
          <t>11/27/2025</t>
        </is>
      </c>
      <c r="B155" s="2" t="n">
        <v>110610</v>
      </c>
      <c r="C155" s="2" t="n">
        <v>1073305</v>
      </c>
      <c r="D155" s="2" t="n">
        <v>1052720</v>
      </c>
      <c r="E155" s="2" t="n"/>
      <c r="F155" s="2" t="n"/>
      <c r="G155" s="2" t="n"/>
      <c r="H155" s="2" t="n"/>
      <c r="I155" s="2" t="n"/>
      <c r="J155" s="2" t="n">
        <v>1492</v>
      </c>
      <c r="K155" s="2" t="n">
        <v>1462.29</v>
      </c>
      <c r="L155" s="2" t="n">
        <v>27550</v>
      </c>
      <c r="M155" s="2" t="n">
        <v>10895</v>
      </c>
      <c r="N155" s="2" t="n">
        <v>10355</v>
      </c>
      <c r="O155" s="2" t="n"/>
      <c r="P155" s="2" t="n"/>
      <c r="Q155" s="2" t="n"/>
      <c r="R155" s="2" t="n">
        <v>12740</v>
      </c>
      <c r="S155" s="2" t="n">
        <v>15540</v>
      </c>
      <c r="T155" s="2" t="n">
        <v>25040</v>
      </c>
      <c r="U155" s="2" t="n">
        <v>31880</v>
      </c>
      <c r="V155" s="2" t="n">
        <v>22700</v>
      </c>
      <c r="W155" s="2" t="n">
        <v>24605</v>
      </c>
      <c r="X155" s="2" t="n">
        <v>14220</v>
      </c>
      <c r="Y155" s="2" t="n">
        <v>3825</v>
      </c>
      <c r="AA155" s="2" t="n"/>
      <c r="AB155" s="2" t="n"/>
      <c r="AC155" s="2" t="n"/>
      <c r="AD155" s="2" t="n"/>
      <c r="AE155" s="2" t="n"/>
      <c r="AF155" s="2" t="n">
        <v>91324.60000000001</v>
      </c>
      <c r="AG155" s="2" t="n">
        <v>3015.69</v>
      </c>
    </row>
    <row r="156" ht="16" customHeight="1">
      <c r="A156" s="2" t="inlineStr">
        <is>
          <t>11/26/2025</t>
        </is>
      </c>
      <c r="B156" s="2" t="n">
        <v>110845</v>
      </c>
      <c r="C156" s="2" t="n">
        <v>1075400</v>
      </c>
      <c r="D156" s="2" t="n">
        <v>1058605</v>
      </c>
      <c r="E156" s="2" t="n">
        <v>100.64</v>
      </c>
      <c r="F156" s="2" t="n">
        <v>82.45999999999999</v>
      </c>
      <c r="G156" s="2" t="n">
        <v>97.17</v>
      </c>
      <c r="H156" s="2" t="n">
        <v>74.81</v>
      </c>
      <c r="I156" s="2" t="n">
        <v>104.8</v>
      </c>
      <c r="J156" s="2" t="n">
        <v>1494</v>
      </c>
      <c r="K156" s="2" t="n">
        <v>1471.44</v>
      </c>
      <c r="L156" s="2" t="n">
        <v>27630</v>
      </c>
      <c r="M156" s="2" t="n">
        <v>10915</v>
      </c>
      <c r="N156" s="2" t="n">
        <v>10385</v>
      </c>
      <c r="O156" s="2" t="n"/>
      <c r="P156" s="2" t="n">
        <v>57.66</v>
      </c>
      <c r="Q156" s="2" t="n">
        <v>50.18</v>
      </c>
      <c r="R156" s="2" t="n">
        <v>12660</v>
      </c>
      <c r="S156" s="2" t="n">
        <v>15505</v>
      </c>
      <c r="T156" s="2" t="n">
        <v>24955</v>
      </c>
      <c r="U156" s="2" t="n">
        <v>31640</v>
      </c>
      <c r="V156" s="2" t="n">
        <v>22620</v>
      </c>
      <c r="W156" s="2" t="n">
        <v>24490</v>
      </c>
      <c r="X156" s="2" t="n">
        <v>14195</v>
      </c>
      <c r="Y156" s="2" t="n">
        <v>3835</v>
      </c>
      <c r="AA156" s="2" t="n">
        <v>252.92</v>
      </c>
      <c r="AB156" s="2" t="n">
        <v>27.45</v>
      </c>
      <c r="AC156" s="2" t="n">
        <v>79.95999999999999</v>
      </c>
      <c r="AD156" s="2" t="n">
        <v>175.64</v>
      </c>
      <c r="AE156" s="2" t="n">
        <v>221.6</v>
      </c>
      <c r="AF156" s="2" t="n">
        <v>90496.5</v>
      </c>
      <c r="AG156" s="2" t="n">
        <v>3026.95</v>
      </c>
    </row>
    <row r="157" ht="16" customHeight="1">
      <c r="A157" s="2" t="inlineStr">
        <is>
          <t>11/25/2025</t>
        </is>
      </c>
      <c r="B157" s="2" t="n">
        <v>110830</v>
      </c>
      <c r="C157" s="2" t="n">
        <v>1075320</v>
      </c>
      <c r="D157" s="2" t="n">
        <v>1058520</v>
      </c>
      <c r="E157" s="2" t="n">
        <v>100.63</v>
      </c>
      <c r="F157" s="2" t="n">
        <v>78.65000000000001</v>
      </c>
      <c r="G157" s="2" t="n">
        <v>96.29000000000001</v>
      </c>
      <c r="H157" s="2" t="n">
        <v>71.95</v>
      </c>
      <c r="I157" s="2" t="n">
        <v>102.1</v>
      </c>
      <c r="J157" s="2" t="n">
        <v>1495</v>
      </c>
      <c r="K157" s="2" t="n">
        <v>1465.58</v>
      </c>
      <c r="L157" s="2" t="n">
        <v>27630</v>
      </c>
      <c r="M157" s="2" t="n">
        <v>10905</v>
      </c>
      <c r="N157" s="2" t="n">
        <v>10395</v>
      </c>
      <c r="O157" s="2" t="n"/>
      <c r="P157" s="2" t="n">
        <v>57.46</v>
      </c>
      <c r="Q157" s="2" t="n">
        <v>50.15</v>
      </c>
      <c r="R157" s="2" t="n">
        <v>12575</v>
      </c>
      <c r="S157" s="2" t="n">
        <v>15095</v>
      </c>
      <c r="T157" s="2" t="n">
        <v>24750</v>
      </c>
      <c r="U157" s="2" t="n">
        <v>30805</v>
      </c>
      <c r="V157" s="2" t="n">
        <v>22435</v>
      </c>
      <c r="W157" s="2" t="n">
        <v>24335</v>
      </c>
      <c r="X157" s="2" t="n">
        <v>14205</v>
      </c>
      <c r="Y157" s="2" t="n">
        <v>3780</v>
      </c>
      <c r="AA157" s="2" t="n">
        <v>250.67</v>
      </c>
      <c r="AB157" s="2" t="n">
        <v>27.32</v>
      </c>
      <c r="AC157" s="2" t="n">
        <v>79.42</v>
      </c>
      <c r="AD157" s="2" t="n">
        <v>172.19</v>
      </c>
      <c r="AE157" s="2" t="n">
        <v>219.99</v>
      </c>
      <c r="AF157" s="2" t="n">
        <v>87366.8</v>
      </c>
      <c r="AG157" s="2" t="n">
        <v>2960.07</v>
      </c>
    </row>
    <row r="158" ht="16" customHeight="1">
      <c r="A158" s="2" t="inlineStr">
        <is>
          <t>11/24/2025</t>
        </is>
      </c>
      <c r="B158" s="2" t="n">
        <v>110830</v>
      </c>
      <c r="C158" s="2" t="n">
        <v>1075245</v>
      </c>
      <c r="D158" s="2" t="n">
        <v>1058435</v>
      </c>
      <c r="E158" s="2" t="n">
        <v>100.61</v>
      </c>
      <c r="F158" s="2" t="n">
        <v>78.90000000000001</v>
      </c>
      <c r="G158" s="2" t="n">
        <v>96.38</v>
      </c>
      <c r="H158" s="2" t="n">
        <v>71.12</v>
      </c>
      <c r="I158" s="2" t="n">
        <v>102.66</v>
      </c>
      <c r="J158" s="2" t="n">
        <v>1501</v>
      </c>
      <c r="K158" s="2" t="n">
        <v>1474.67</v>
      </c>
      <c r="L158" s="2" t="n">
        <v>27095</v>
      </c>
      <c r="M158" s="2" t="n">
        <v>10945</v>
      </c>
      <c r="N158" s="2" t="n">
        <v>10370</v>
      </c>
      <c r="O158" s="2" t="n"/>
      <c r="P158" s="2" t="n">
        <v>57.27</v>
      </c>
      <c r="Q158" s="2" t="n">
        <v>50.11</v>
      </c>
      <c r="R158" s="2" t="n">
        <v>12700</v>
      </c>
      <c r="S158" s="2" t="n">
        <v>15165</v>
      </c>
      <c r="T158" s="2" t="n">
        <v>24585</v>
      </c>
      <c r="U158" s="2" t="n">
        <v>30620</v>
      </c>
      <c r="V158" s="2" t="n">
        <v>22290</v>
      </c>
      <c r="W158" s="2" t="n">
        <v>23980</v>
      </c>
      <c r="X158" s="2" t="n">
        <v>14170</v>
      </c>
      <c r="Y158" s="2" t="n">
        <v>3830</v>
      </c>
      <c r="AA158" s="2" t="n">
        <v>249.14</v>
      </c>
      <c r="AB158" s="2" t="n">
        <v>26.95</v>
      </c>
      <c r="AC158" s="2" t="n">
        <v>78.73999999999999</v>
      </c>
      <c r="AD158" s="2" t="n">
        <v>179.04</v>
      </c>
      <c r="AE158" s="2" t="n">
        <v>216.96</v>
      </c>
      <c r="AF158" s="2" t="n">
        <v>88296.5</v>
      </c>
      <c r="AG158" s="2" t="n">
        <v>2953.44</v>
      </c>
    </row>
    <row r="159" ht="16" customHeight="1">
      <c r="A159" s="2" t="inlineStr">
        <is>
          <t>11/23/2025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>
        <v>1519</v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AA159" s="2" t="n"/>
      <c r="AB159" s="2" t="n"/>
      <c r="AC159" s="2" t="n"/>
      <c r="AD159" s="2" t="n"/>
      <c r="AE159" s="2" t="n"/>
      <c r="AF159" s="2" t="n">
        <v>86826.60000000001</v>
      </c>
      <c r="AG159" s="2" t="n">
        <v>2801.99</v>
      </c>
    </row>
    <row r="160" ht="16" customHeight="1">
      <c r="A160" s="2" t="inlineStr">
        <is>
          <t>11/22/2025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>
        <v>1503</v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AA160" s="2" t="n"/>
      <c r="AB160" s="2" t="n"/>
      <c r="AC160" s="2" t="n"/>
      <c r="AD160" s="2" t="n"/>
      <c r="AE160" s="2" t="n"/>
      <c r="AF160" s="2" t="n">
        <v>84721.60000000001</v>
      </c>
      <c r="AG160" s="2" t="n">
        <v>2770.41</v>
      </c>
    </row>
    <row r="161" ht="16" customHeight="1">
      <c r="A161" s="2" t="inlineStr">
        <is>
          <t>11/21/2025</t>
        </is>
      </c>
      <c r="B161" s="2" t="n">
        <v>110820</v>
      </c>
      <c r="C161" s="2" t="n">
        <v>1075170</v>
      </c>
      <c r="D161" s="2" t="n">
        <v>1058365</v>
      </c>
      <c r="E161" s="2" t="n">
        <v>100.6</v>
      </c>
      <c r="F161" s="2" t="n">
        <v>76.45</v>
      </c>
      <c r="G161" s="2" t="n">
        <v>95.38</v>
      </c>
      <c r="H161" s="2" t="n">
        <v>67.54000000000001</v>
      </c>
      <c r="I161" s="2" t="n">
        <v>97.73</v>
      </c>
      <c r="J161" s="2" t="n">
        <v>1503</v>
      </c>
      <c r="K161" s="2" t="n">
        <v>1469.73</v>
      </c>
      <c r="L161" s="2" t="n">
        <v>27055</v>
      </c>
      <c r="M161" s="2" t="n">
        <v>10920</v>
      </c>
      <c r="N161" s="2" t="n">
        <v>10330</v>
      </c>
      <c r="O161" s="2" t="n"/>
      <c r="P161" s="2" t="n">
        <v>56.99</v>
      </c>
      <c r="Q161" s="2" t="n">
        <v>50.12</v>
      </c>
      <c r="R161" s="2" t="n">
        <v>12380</v>
      </c>
      <c r="S161" s="2" t="n">
        <v>15415</v>
      </c>
      <c r="T161" s="2" t="n">
        <v>24260</v>
      </c>
      <c r="U161" s="2" t="n">
        <v>30575</v>
      </c>
      <c r="V161" s="2" t="n">
        <v>21990</v>
      </c>
      <c r="W161" s="2" t="n">
        <v>23620</v>
      </c>
      <c r="X161" s="2" t="n">
        <v>14155</v>
      </c>
      <c r="Y161" s="2" t="n">
        <v>3850</v>
      </c>
      <c r="AA161" s="2" t="n">
        <v>242.92</v>
      </c>
      <c r="AB161" s="2" t="n">
        <v>27.1</v>
      </c>
      <c r="AC161" s="2" t="n">
        <v>77.53</v>
      </c>
      <c r="AD161" s="2" t="n">
        <v>170.5</v>
      </c>
      <c r="AE161" s="2" t="n">
        <v>215.26</v>
      </c>
      <c r="AF161" s="2" t="n">
        <v>85131</v>
      </c>
      <c r="AG161" s="2" t="n">
        <v>2766.76</v>
      </c>
    </row>
    <row r="162" ht="16" customHeight="1">
      <c r="A162" s="2" t="inlineStr">
        <is>
          <t>11/20/2025</t>
        </is>
      </c>
      <c r="B162" s="2" t="n">
        <v>110800</v>
      </c>
      <c r="C162" s="2" t="n">
        <v>1075100</v>
      </c>
      <c r="D162" s="2" t="n">
        <v>1058255</v>
      </c>
      <c r="E162" s="2" t="n">
        <v>100.58</v>
      </c>
      <c r="F162" s="2" t="n">
        <v>75.59999999999999</v>
      </c>
      <c r="G162" s="2" t="n">
        <v>92.79000000000001</v>
      </c>
      <c r="H162" s="2" t="n">
        <v>66.36</v>
      </c>
      <c r="I162" s="2" t="n">
        <v>94</v>
      </c>
      <c r="J162" s="2" t="n">
        <v>1499</v>
      </c>
      <c r="K162" s="2" t="n">
        <v>1474.33</v>
      </c>
      <c r="L162" s="2" t="n">
        <v>27175</v>
      </c>
      <c r="M162" s="2" t="n">
        <v>10825</v>
      </c>
      <c r="N162" s="2" t="n">
        <v>10250</v>
      </c>
      <c r="O162" s="2" t="n"/>
      <c r="P162" s="2" t="n">
        <v>56.85</v>
      </c>
      <c r="Q162" s="2" t="n">
        <v>50.07</v>
      </c>
      <c r="R162" s="2" t="n">
        <v>12475</v>
      </c>
      <c r="S162" s="2" t="n">
        <v>15970</v>
      </c>
      <c r="T162" s="2" t="n">
        <v>24760</v>
      </c>
      <c r="U162" s="2" t="n">
        <v>31930</v>
      </c>
      <c r="V162" s="2" t="n">
        <v>22445</v>
      </c>
      <c r="W162" s="2" t="n">
        <v>24475</v>
      </c>
      <c r="X162" s="2" t="n">
        <v>14185</v>
      </c>
      <c r="Y162" s="2" t="n">
        <v>3890</v>
      </c>
      <c r="AA162" s="2" t="n">
        <v>241.11</v>
      </c>
      <c r="AB162" s="2" t="n">
        <v>26.62</v>
      </c>
      <c r="AC162" s="2" t="n">
        <v>76.77</v>
      </c>
      <c r="AD162" s="2" t="n">
        <v>177.13</v>
      </c>
      <c r="AE162" s="2" t="n">
        <v>213.05</v>
      </c>
      <c r="AF162" s="2" t="n">
        <v>86613.89999999999</v>
      </c>
      <c r="AG162" s="2" t="n">
        <v>2832.98</v>
      </c>
    </row>
    <row r="163" ht="16" customHeight="1">
      <c r="A163" s="2" t="inlineStr">
        <is>
          <t>11/19/2025</t>
        </is>
      </c>
      <c r="B163" s="2" t="n">
        <v>110790</v>
      </c>
      <c r="C163" s="2" t="n">
        <v>1074875</v>
      </c>
      <c r="D163" s="2" t="n">
        <v>1058005</v>
      </c>
      <c r="E163" s="2" t="n">
        <v>100.56</v>
      </c>
      <c r="F163" s="2" t="n">
        <v>76.31999999999999</v>
      </c>
      <c r="G163" s="2" t="n">
        <v>94.59</v>
      </c>
      <c r="H163" s="2" t="n">
        <v>66.43000000000001</v>
      </c>
      <c r="I163" s="2" t="n">
        <v>98</v>
      </c>
      <c r="J163" s="2" t="n">
        <v>1491</v>
      </c>
      <c r="K163" s="2" t="n">
        <v>1467.1</v>
      </c>
      <c r="L163" s="2" t="n">
        <v>27360</v>
      </c>
      <c r="M163" s="2" t="n">
        <v>10840</v>
      </c>
      <c r="N163" s="2" t="n">
        <v>10250</v>
      </c>
      <c r="O163" s="2" t="n"/>
      <c r="P163" s="2" t="n">
        <v>56.65</v>
      </c>
      <c r="Q163" s="2" t="n">
        <v>50.04</v>
      </c>
      <c r="R163" s="2" t="n">
        <v>12535</v>
      </c>
      <c r="S163" s="2" t="n">
        <v>15565</v>
      </c>
      <c r="T163" s="2" t="n">
        <v>24315</v>
      </c>
      <c r="U163" s="2" t="n">
        <v>31270</v>
      </c>
      <c r="V163" s="2" t="n">
        <v>22030</v>
      </c>
      <c r="W163" s="2" t="n">
        <v>23830</v>
      </c>
      <c r="X163" s="2" t="n">
        <v>14070</v>
      </c>
      <c r="Y163" s="2" t="n">
        <v>3800</v>
      </c>
      <c r="AA163" s="2" t="n">
        <v>246.95</v>
      </c>
      <c r="AB163" s="2" t="n">
        <v>26.93</v>
      </c>
      <c r="AC163" s="2" t="n">
        <v>77.95999999999999</v>
      </c>
      <c r="AD163" s="2" t="n">
        <v>186.5</v>
      </c>
      <c r="AE163" s="2" t="n">
        <v>215.05</v>
      </c>
      <c r="AF163" s="2" t="n">
        <v>91544.10000000001</v>
      </c>
      <c r="AG163" s="2" t="n">
        <v>3025.72</v>
      </c>
    </row>
    <row r="164" ht="16" customHeight="1">
      <c r="A164" s="2" t="inlineStr">
        <is>
          <t>11/18/2025</t>
        </is>
      </c>
      <c r="B164" s="2" t="n">
        <v>110780</v>
      </c>
      <c r="C164" s="2" t="n">
        <v>1074795</v>
      </c>
      <c r="D164" s="2" t="n">
        <v>1057920</v>
      </c>
      <c r="E164" s="2" t="n">
        <v>100.54</v>
      </c>
      <c r="F164" s="2" t="n">
        <v>80.78</v>
      </c>
      <c r="G164" s="2" t="n">
        <v>96.39</v>
      </c>
      <c r="H164" s="2" t="n">
        <v>66.76000000000001</v>
      </c>
      <c r="I164" s="2" t="n">
        <v>103.02</v>
      </c>
      <c r="J164" s="2" t="n">
        <v>1481</v>
      </c>
      <c r="K164" s="2" t="n">
        <v>1459.39</v>
      </c>
      <c r="L164" s="2" t="n">
        <v>26780</v>
      </c>
      <c r="M164" s="2" t="n">
        <v>10835</v>
      </c>
      <c r="N164" s="2" t="n">
        <v>10290</v>
      </c>
      <c r="O164" s="2" t="n"/>
      <c r="P164" s="2" t="n">
        <v>56.71</v>
      </c>
      <c r="Q164" s="2" t="n">
        <v>50.06</v>
      </c>
      <c r="R164" s="2" t="n">
        <v>12470</v>
      </c>
      <c r="S164" s="2" t="n">
        <v>15780</v>
      </c>
      <c r="T164" s="2" t="n">
        <v>24400</v>
      </c>
      <c r="U164" s="2" t="n">
        <v>31485</v>
      </c>
      <c r="V164" s="2" t="n">
        <v>22115</v>
      </c>
      <c r="W164" s="2" t="n">
        <v>24005</v>
      </c>
      <c r="X164" s="2" t="n">
        <v>14055</v>
      </c>
      <c r="Y164" s="2" t="n">
        <v>3840</v>
      </c>
      <c r="AA164" s="2" t="n">
        <v>245.51</v>
      </c>
      <c r="AB164" s="2" t="n">
        <v>27.16</v>
      </c>
      <c r="AC164" s="2" t="n">
        <v>77.68000000000001</v>
      </c>
      <c r="AD164" s="2" t="n">
        <v>206.8</v>
      </c>
      <c r="AE164" s="2" t="n">
        <v>214.33</v>
      </c>
      <c r="AF164" s="2" t="n">
        <v>92962.3</v>
      </c>
      <c r="AG164" s="2" t="n">
        <v>3123.73</v>
      </c>
    </row>
    <row r="165" ht="16" customHeight="1">
      <c r="A165" s="2" t="inlineStr">
        <is>
          <t>11/17/2025</t>
        </is>
      </c>
      <c r="B165" s="2" t="n">
        <v>110780</v>
      </c>
      <c r="C165" s="2" t="n">
        <v>1074720</v>
      </c>
      <c r="D165" s="2" t="n">
        <v>1057840</v>
      </c>
      <c r="E165" s="2" t="n">
        <v>100.54</v>
      </c>
      <c r="F165" s="2" t="n">
        <v>79.45</v>
      </c>
      <c r="G165" s="2" t="n">
        <v>94.58</v>
      </c>
      <c r="H165" s="2" t="n">
        <v>65.2</v>
      </c>
      <c r="I165" s="2" t="n">
        <v>99.79000000000001</v>
      </c>
      <c r="J165" s="2" t="n">
        <v>1494</v>
      </c>
      <c r="K165" s="2" t="n">
        <v>1462.28</v>
      </c>
      <c r="L165" s="2" t="n">
        <v>27185</v>
      </c>
      <c r="M165" s="2" t="n">
        <v>10765</v>
      </c>
      <c r="N165" s="2" t="n">
        <v>10185</v>
      </c>
      <c r="O165" s="2" t="n"/>
      <c r="P165" s="2" t="n">
        <v>56.75</v>
      </c>
      <c r="Q165" s="2" t="n">
        <v>50.04</v>
      </c>
      <c r="R165" s="2" t="n">
        <v>12545</v>
      </c>
      <c r="S165" s="2" t="n">
        <v>16150</v>
      </c>
      <c r="T165" s="2" t="n">
        <v>24735</v>
      </c>
      <c r="U165" s="2" t="n">
        <v>32560</v>
      </c>
      <c r="V165" s="2" t="n">
        <v>22420</v>
      </c>
      <c r="W165" s="2" t="n">
        <v>24405</v>
      </c>
      <c r="X165" s="2" t="n">
        <v>14135</v>
      </c>
      <c r="Y165" s="2" t="n">
        <v>3995</v>
      </c>
      <c r="AA165" s="2" t="n">
        <v>248.53</v>
      </c>
      <c r="AB165" s="2" t="n">
        <v>27</v>
      </c>
      <c r="AC165" s="2" t="n">
        <v>78.31999999999999</v>
      </c>
      <c r="AD165" s="2" t="n">
        <v>195.42</v>
      </c>
      <c r="AE165" s="2" t="n">
        <v>215.02</v>
      </c>
      <c r="AF165" s="2" t="n">
        <v>92195</v>
      </c>
      <c r="AG165" s="2" t="n">
        <v>3030.18</v>
      </c>
    </row>
    <row r="166" ht="16" customHeight="1">
      <c r="A166" s="2" t="inlineStr">
        <is>
          <t>11/16/2025</t>
        </is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>
        <v>1490</v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AA166" s="2" t="n"/>
      <c r="AB166" s="2" t="n"/>
      <c r="AC166" s="2" t="n"/>
      <c r="AD166" s="2" t="n"/>
      <c r="AE166" s="2" t="n"/>
      <c r="AF166" s="2" t="n">
        <v>94259.8</v>
      </c>
      <c r="AG166" s="2" t="n">
        <v>3096.03</v>
      </c>
    </row>
    <row r="167" ht="16" customHeight="1">
      <c r="A167" s="2" t="inlineStr">
        <is>
          <t>11/15/2025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>
        <v>1510</v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AA167" s="2" t="n"/>
      <c r="AB167" s="2" t="n"/>
      <c r="AC167" s="2" t="n"/>
      <c r="AD167" s="2" t="n"/>
      <c r="AE167" s="2" t="n"/>
      <c r="AF167" s="2" t="n">
        <v>95587.60000000001</v>
      </c>
      <c r="AG167" s="2" t="n">
        <v>3168.01</v>
      </c>
    </row>
    <row r="168" ht="16" customHeight="1">
      <c r="A168" s="2" t="inlineStr">
        <is>
          <t>11/14/2025</t>
        </is>
      </c>
      <c r="B168" s="2" t="n">
        <v>110775</v>
      </c>
      <c r="C168" s="2" t="n">
        <v>1074645</v>
      </c>
      <c r="D168" s="2" t="n">
        <v>1057750</v>
      </c>
      <c r="E168" s="2" t="n">
        <v>100.53</v>
      </c>
      <c r="F168" s="2" t="n">
        <v>81.67</v>
      </c>
      <c r="G168" s="2" t="n">
        <v>97.76000000000001</v>
      </c>
      <c r="H168" s="2" t="n">
        <v>70.88</v>
      </c>
      <c r="I168" s="2" t="n">
        <v>105.58</v>
      </c>
      <c r="J168" s="2" t="n">
        <v>1519</v>
      </c>
      <c r="K168" s="2" t="n">
        <v>1448.53</v>
      </c>
      <c r="L168" s="2" t="n">
        <v>27975</v>
      </c>
      <c r="M168" s="2" t="n">
        <v>10780</v>
      </c>
      <c r="N168" s="2" t="n">
        <v>10245</v>
      </c>
      <c r="O168" s="2" t="n"/>
      <c r="P168" s="2" t="n">
        <v>56.6</v>
      </c>
      <c r="Q168" s="2" t="n">
        <v>50.04</v>
      </c>
      <c r="R168" s="2" t="n">
        <v>12530</v>
      </c>
      <c r="S168" s="2" t="n">
        <v>16050</v>
      </c>
      <c r="T168" s="2" t="n">
        <v>24615</v>
      </c>
      <c r="U168" s="2" t="n">
        <v>31860</v>
      </c>
      <c r="V168" s="2" t="n">
        <v>22325</v>
      </c>
      <c r="W168" s="2" t="n">
        <v>24195</v>
      </c>
      <c r="X168" s="2" t="n">
        <v>14090</v>
      </c>
      <c r="Y168" s="2" t="n">
        <v>4085</v>
      </c>
      <c r="AA168" s="2" t="n">
        <v>250.65</v>
      </c>
      <c r="AB168" s="2" t="n">
        <v>27.24</v>
      </c>
      <c r="AC168" s="2" t="n">
        <v>79.05</v>
      </c>
      <c r="AD168" s="2" t="n">
        <v>199.75</v>
      </c>
      <c r="AE168" s="2" t="n">
        <v>217.03</v>
      </c>
      <c r="AF168" s="2" t="n">
        <v>94554.3</v>
      </c>
      <c r="AG168" s="2" t="n">
        <v>3113.03</v>
      </c>
    </row>
    <row r="169" ht="16" customHeight="1">
      <c r="A169" s="2" t="inlineStr">
        <is>
          <t>11/13/2025</t>
        </is>
      </c>
      <c r="B169" s="2" t="n">
        <v>110750</v>
      </c>
      <c r="C169" s="2" t="n">
        <v>1074570</v>
      </c>
      <c r="D169" s="2" t="n">
        <v>1057670</v>
      </c>
      <c r="E169" s="2" t="n">
        <v>100.5</v>
      </c>
      <c r="F169" s="2" t="n">
        <v>80.86</v>
      </c>
      <c r="G169" s="2" t="n">
        <v>98.63</v>
      </c>
      <c r="H169" s="2" t="n">
        <v>70.22</v>
      </c>
      <c r="I169" s="2" t="n">
        <v>104.55</v>
      </c>
      <c r="J169" s="2" t="n">
        <v>1517</v>
      </c>
      <c r="K169" s="2" t="n">
        <v>1470.7</v>
      </c>
      <c r="L169" s="2" t="n">
        <v>28800</v>
      </c>
      <c r="M169" s="2" t="n">
        <v>10895</v>
      </c>
      <c r="N169" s="2" t="n">
        <v>10365</v>
      </c>
      <c r="O169" s="2" t="n"/>
      <c r="P169" s="2" t="n">
        <v>56.89</v>
      </c>
      <c r="Q169" s="2" t="n">
        <v>50.05</v>
      </c>
      <c r="R169" s="2" t="n">
        <v>12710</v>
      </c>
      <c r="S169" s="2" t="n">
        <v>16430</v>
      </c>
      <c r="T169" s="2" t="n">
        <v>25300</v>
      </c>
      <c r="U169" s="2" t="n">
        <v>33330</v>
      </c>
      <c r="V169" s="2" t="n">
        <v>22935</v>
      </c>
      <c r="W169" s="2" t="n">
        <v>25010</v>
      </c>
      <c r="X169" s="2" t="n">
        <v>14265</v>
      </c>
      <c r="Y169" s="2" t="n">
        <v>4015</v>
      </c>
      <c r="AA169" s="2" t="n">
        <v>250.48</v>
      </c>
      <c r="AB169" s="2" t="n">
        <v>27.22</v>
      </c>
      <c r="AC169" s="2" t="n">
        <v>79.06</v>
      </c>
      <c r="AD169" s="2" t="n">
        <v>208.54</v>
      </c>
      <c r="AE169" s="2" t="n">
        <v>217.7</v>
      </c>
      <c r="AF169" s="2" t="n">
        <v>99728.7</v>
      </c>
      <c r="AG169" s="2" t="n">
        <v>3232.94</v>
      </c>
    </row>
    <row r="170" ht="16" customHeight="1">
      <c r="A170" s="2" t="inlineStr">
        <is>
          <t>11/12/2025</t>
        </is>
      </c>
      <c r="B170" s="2" t="n">
        <v>110740</v>
      </c>
      <c r="C170" s="2" t="n">
        <v>1074350</v>
      </c>
      <c r="D170" s="2" t="n">
        <v>1057440</v>
      </c>
      <c r="E170" s="2" t="n">
        <v>100.49</v>
      </c>
      <c r="F170" s="2" t="n">
        <v>84.25</v>
      </c>
      <c r="G170" s="2" t="n">
        <v>100.01</v>
      </c>
      <c r="H170" s="2" t="n">
        <v>74.62</v>
      </c>
      <c r="I170" s="2" t="n">
        <v>107.6</v>
      </c>
      <c r="J170" s="2" t="n">
        <v>1508</v>
      </c>
      <c r="K170" s="2" t="n">
        <v>1469.36</v>
      </c>
      <c r="L170" s="2" t="n">
        <v>28180</v>
      </c>
      <c r="M170" s="2" t="n">
        <v>10855</v>
      </c>
      <c r="N170" s="2" t="n">
        <v>10345</v>
      </c>
      <c r="O170" s="2" t="n"/>
      <c r="P170" s="2" t="n">
        <v>57.29</v>
      </c>
      <c r="Q170" s="2" t="n">
        <v>50.06</v>
      </c>
      <c r="R170" s="2" t="n">
        <v>12995</v>
      </c>
      <c r="S170" s="2" t="n">
        <v>16160</v>
      </c>
      <c r="T170" s="2" t="n">
        <v>25230</v>
      </c>
      <c r="U170" s="2" t="n">
        <v>33190</v>
      </c>
      <c r="V170" s="2" t="n">
        <v>22875</v>
      </c>
      <c r="W170" s="2" t="n">
        <v>25010</v>
      </c>
      <c r="X170" s="2" t="n">
        <v>14225</v>
      </c>
      <c r="Y170" s="2" t="n">
        <v>3910</v>
      </c>
      <c r="AA170" s="2" t="n">
        <v>255.71</v>
      </c>
      <c r="AB170" s="2" t="n">
        <v>27.19</v>
      </c>
      <c r="AC170" s="2" t="n">
        <v>80.38</v>
      </c>
      <c r="AD170" s="2" t="n">
        <v>224.61</v>
      </c>
      <c r="AE170" s="2" t="n">
        <v>220.1</v>
      </c>
      <c r="AF170" s="2" t="n">
        <v>101658.3</v>
      </c>
      <c r="AG170" s="2" t="n">
        <v>3413.6</v>
      </c>
    </row>
    <row r="171" ht="16" customHeight="1">
      <c r="A171" s="2" t="inlineStr">
        <is>
          <t>11/11/2025</t>
        </is>
      </c>
      <c r="B171" s="2" t="n">
        <v>110735</v>
      </c>
      <c r="C171" s="2" t="n">
        <v>1074275</v>
      </c>
      <c r="D171" s="2" t="n">
        <v>1057360</v>
      </c>
      <c r="E171" s="2" t="n">
        <v>100.48</v>
      </c>
      <c r="F171" s="2" t="n">
        <v>86.04000000000001</v>
      </c>
      <c r="G171" s="2" t="n">
        <v>100</v>
      </c>
      <c r="H171" s="2" t="n">
        <v>74.97</v>
      </c>
      <c r="I171" s="2" t="n">
        <v>108.84</v>
      </c>
      <c r="J171" s="2" t="n">
        <v>1498</v>
      </c>
      <c r="K171" s="2" t="n">
        <v>1460.82</v>
      </c>
      <c r="L171" s="2" t="n">
        <v>27995</v>
      </c>
      <c r="M171" s="2" t="n">
        <v>10810</v>
      </c>
      <c r="N171" s="2" t="n">
        <v>10310</v>
      </c>
      <c r="O171" s="2" t="n"/>
      <c r="P171" s="2" t="n">
        <v>57.19</v>
      </c>
      <c r="Q171" s="2" t="n">
        <v>50.13</v>
      </c>
      <c r="R171" s="2" t="n">
        <v>12630</v>
      </c>
      <c r="S171" s="2" t="n">
        <v>15590</v>
      </c>
      <c r="T171" s="2" t="n">
        <v>25055</v>
      </c>
      <c r="U171" s="2" t="n">
        <v>32830</v>
      </c>
      <c r="V171" s="2" t="n">
        <v>22710</v>
      </c>
      <c r="W171" s="2" t="n">
        <v>24890</v>
      </c>
      <c r="X171" s="2" t="n">
        <v>14170</v>
      </c>
      <c r="Y171" s="2" t="n">
        <v>3835</v>
      </c>
      <c r="AA171" s="2" t="n">
        <v>255.89</v>
      </c>
      <c r="AB171" s="2" t="n">
        <v>27.18</v>
      </c>
      <c r="AC171" s="2" t="n">
        <v>80.33</v>
      </c>
      <c r="AD171" s="2" t="n">
        <v>231.35</v>
      </c>
      <c r="AE171" s="2" t="n">
        <v>218.83</v>
      </c>
      <c r="AF171" s="2" t="n">
        <v>103046.7</v>
      </c>
      <c r="AG171" s="2" t="n">
        <v>3417.56</v>
      </c>
    </row>
    <row r="172" ht="16" customHeight="1">
      <c r="A172" s="2" t="inlineStr">
        <is>
          <t>11/10/2025</t>
        </is>
      </c>
      <c r="B172" s="2" t="n">
        <v>110725</v>
      </c>
      <c r="C172" s="2" t="n">
        <v>1074200</v>
      </c>
      <c r="D172" s="2" t="n">
        <v>1057285</v>
      </c>
      <c r="E172" s="2" t="n">
        <v>100.47</v>
      </c>
      <c r="F172" s="2" t="n">
        <v>87.88</v>
      </c>
      <c r="G172" s="2" t="n">
        <v>99.95999999999999</v>
      </c>
      <c r="H172" s="2" t="n">
        <v>75.2</v>
      </c>
      <c r="I172" s="2" t="n">
        <v>109.82</v>
      </c>
      <c r="J172" s="2" t="n">
        <v>1480</v>
      </c>
      <c r="K172" s="2" t="n">
        <v>1456.9</v>
      </c>
      <c r="L172" s="2" t="n">
        <v>27500</v>
      </c>
      <c r="M172" s="2" t="n">
        <v>10725</v>
      </c>
      <c r="N172" s="2" t="n">
        <v>10150</v>
      </c>
      <c r="O172" s="2" t="n"/>
      <c r="P172" s="2" t="n">
        <v>56.94</v>
      </c>
      <c r="Q172" s="2" t="n">
        <v>50.05</v>
      </c>
      <c r="R172" s="2" t="n">
        <v>12695</v>
      </c>
      <c r="S172" s="2" t="n">
        <v>15680</v>
      </c>
      <c r="T172" s="2" t="n">
        <v>24660</v>
      </c>
      <c r="U172" s="2" t="n">
        <v>32535</v>
      </c>
      <c r="V172" s="2" t="n">
        <v>22355</v>
      </c>
      <c r="W172" s="2" t="n">
        <v>24485</v>
      </c>
      <c r="X172" s="2" t="n">
        <v>14030</v>
      </c>
      <c r="Y172" s="2" t="n">
        <v>3780</v>
      </c>
      <c r="AA172" s="2" t="n">
        <v>256.58</v>
      </c>
      <c r="AB172" s="2" t="n">
        <v>26.77</v>
      </c>
      <c r="AC172" s="2" t="n">
        <v>80.16</v>
      </c>
      <c r="AD172" s="2" t="n">
        <v>238.88</v>
      </c>
      <c r="AE172" s="2" t="n">
        <v>217.25</v>
      </c>
      <c r="AF172" s="2" t="n">
        <v>106006.9</v>
      </c>
      <c r="AG172" s="2" t="n">
        <v>3567.87</v>
      </c>
    </row>
    <row r="173" ht="16" customHeight="1">
      <c r="A173" s="2" t="inlineStr">
        <is>
          <t>11/09/2025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>
        <v>1484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AA173" s="2" t="n"/>
      <c r="AB173" s="2" t="n"/>
      <c r="AC173" s="2" t="n"/>
      <c r="AD173" s="2" t="n"/>
      <c r="AE173" s="2" t="n"/>
      <c r="AF173" s="2" t="n">
        <v>104722.4</v>
      </c>
      <c r="AG173" s="2" t="n">
        <v>3584.18</v>
      </c>
    </row>
    <row r="174" ht="16" customHeight="1">
      <c r="A174" s="2" t="inlineStr">
        <is>
          <t>11/08/2025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>
        <v>1492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AA174" s="2" t="n"/>
      <c r="AB174" s="2" t="n"/>
      <c r="AC174" s="2" t="n"/>
      <c r="AD174" s="2" t="n"/>
      <c r="AE174" s="2" t="n"/>
      <c r="AF174" s="2" t="n">
        <v>102311.1</v>
      </c>
      <c r="AG174" s="2" t="n">
        <v>3401.53</v>
      </c>
    </row>
    <row r="175" ht="16" customHeight="1">
      <c r="A175" s="2" t="inlineStr">
        <is>
          <t>11/07/2025</t>
        </is>
      </c>
      <c r="B175" s="2" t="n">
        <v>110720</v>
      </c>
      <c r="C175" s="2" t="n">
        <v>1074125</v>
      </c>
      <c r="D175" s="2" t="n">
        <v>1057215</v>
      </c>
      <c r="E175" s="2" t="n">
        <v>100.46</v>
      </c>
      <c r="F175" s="2" t="n">
        <v>88.09999999999999</v>
      </c>
      <c r="G175" s="2" t="n">
        <v>99.18000000000001</v>
      </c>
      <c r="H175" s="2" t="n">
        <v>75.51000000000001</v>
      </c>
      <c r="I175" s="2" t="n">
        <v>109.81</v>
      </c>
      <c r="J175" s="2" t="n">
        <v>1489</v>
      </c>
      <c r="K175" s="2" t="n">
        <v>1456</v>
      </c>
      <c r="L175" s="2" t="n">
        <v>27365</v>
      </c>
      <c r="M175" s="2" t="n">
        <v>10780</v>
      </c>
      <c r="N175" s="2" t="n">
        <v>10255</v>
      </c>
      <c r="O175" s="2" t="n"/>
      <c r="P175" s="2" t="n">
        <v>56.97</v>
      </c>
      <c r="Q175" s="2" t="n">
        <v>50.06</v>
      </c>
      <c r="R175" s="2" t="n">
        <v>12485</v>
      </c>
      <c r="S175" s="2" t="n">
        <v>15545</v>
      </c>
      <c r="T175" s="2" t="n">
        <v>24615</v>
      </c>
      <c r="U175" s="2" t="n">
        <v>31565</v>
      </c>
      <c r="V175" s="2" t="n">
        <v>22310</v>
      </c>
      <c r="W175" s="2" t="n">
        <v>24430</v>
      </c>
      <c r="X175" s="2" t="n">
        <v>14055</v>
      </c>
      <c r="Y175" s="2" t="n">
        <v>3565</v>
      </c>
      <c r="AA175" s="2" t="n">
        <v>251.06</v>
      </c>
      <c r="AB175" s="2" t="n">
        <v>26.72</v>
      </c>
      <c r="AC175" s="2" t="n">
        <v>78.93000000000001</v>
      </c>
      <c r="AD175" s="2" t="n">
        <v>241.93</v>
      </c>
      <c r="AE175" s="2" t="n">
        <v>215.64</v>
      </c>
      <c r="AF175" s="2" t="n">
        <v>103325.4</v>
      </c>
      <c r="AG175" s="2" t="n">
        <v>3435.78</v>
      </c>
    </row>
    <row r="176" ht="16" customHeight="1">
      <c r="A176" s="2" t="inlineStr">
        <is>
          <t>11/06/2025</t>
        </is>
      </c>
      <c r="B176" s="2" t="n">
        <v>110695</v>
      </c>
      <c r="C176" s="2" t="n">
        <v>1074050</v>
      </c>
      <c r="D176" s="2" t="n">
        <v>1057125</v>
      </c>
      <c r="E176" s="2" t="n">
        <v>100.43</v>
      </c>
      <c r="F176" s="2" t="n">
        <v>87.27</v>
      </c>
      <c r="G176" s="2" t="n">
        <v>99.89</v>
      </c>
      <c r="H176" s="2" t="n">
        <v>76.73</v>
      </c>
      <c r="I176" s="2" t="n">
        <v>110</v>
      </c>
      <c r="J176" s="2" t="n">
        <v>1495</v>
      </c>
      <c r="K176" s="2" t="n">
        <v>1448.9</v>
      </c>
      <c r="L176" s="2" t="n">
        <v>26980</v>
      </c>
      <c r="M176" s="2" t="n">
        <v>10655</v>
      </c>
      <c r="N176" s="2" t="n">
        <v>10150</v>
      </c>
      <c r="O176" s="2" t="n"/>
      <c r="P176" s="2" t="n">
        <v>57.08</v>
      </c>
      <c r="Q176" s="2" t="n">
        <v>50.03</v>
      </c>
      <c r="R176" s="2" t="n">
        <v>12520</v>
      </c>
      <c r="S176" s="2" t="n">
        <v>16000</v>
      </c>
      <c r="T176" s="2" t="n">
        <v>24645</v>
      </c>
      <c r="U176" s="2" t="n">
        <v>32185</v>
      </c>
      <c r="V176" s="2" t="n">
        <v>22335</v>
      </c>
      <c r="W176" s="2" t="n">
        <v>24610</v>
      </c>
      <c r="X176" s="2" t="n">
        <v>13995</v>
      </c>
      <c r="Y176" s="2" t="n">
        <v>3625</v>
      </c>
      <c r="AA176" s="2" t="n">
        <v>251.83</v>
      </c>
      <c r="AB176" s="2" t="n">
        <v>26.52</v>
      </c>
      <c r="AC176" s="2" t="n">
        <v>78.84999999999999</v>
      </c>
      <c r="AD176" s="2" t="n">
        <v>237.2</v>
      </c>
      <c r="AE176" s="2" t="n">
        <v>215.35</v>
      </c>
      <c r="AF176" s="2" t="n">
        <v>101325.7</v>
      </c>
      <c r="AG176" s="2" t="n">
        <v>3314.43</v>
      </c>
    </row>
    <row r="177" ht="16" customHeight="1">
      <c r="A177" s="2" t="inlineStr">
        <is>
          <t>11/05/2025</t>
        </is>
      </c>
      <c r="B177" s="2" t="n">
        <v>110690</v>
      </c>
      <c r="C177" s="2" t="n">
        <v>1073830</v>
      </c>
      <c r="D177" s="2" t="n">
        <v>1056905</v>
      </c>
      <c r="E177" s="2" t="n">
        <v>100.42</v>
      </c>
      <c r="F177" s="2" t="n">
        <v>88</v>
      </c>
      <c r="G177" s="2" t="n">
        <v>100.01</v>
      </c>
      <c r="H177" s="2" t="n">
        <v>76.98999999999999</v>
      </c>
      <c r="I177" s="2" t="n">
        <v>110.2</v>
      </c>
      <c r="J177" s="2" t="n">
        <v>1499</v>
      </c>
      <c r="K177" s="2" t="n">
        <v>1440.72</v>
      </c>
      <c r="L177" s="2" t="n">
        <v>26645</v>
      </c>
      <c r="M177" s="2" t="n">
        <v>10720</v>
      </c>
      <c r="N177" s="2" t="n">
        <v>10260</v>
      </c>
      <c r="O177" s="2" t="n"/>
      <c r="P177" s="2" t="n">
        <v>56.58</v>
      </c>
      <c r="Q177" s="2" t="n">
        <v>49.99</v>
      </c>
      <c r="R177" s="2" t="n">
        <v>12390</v>
      </c>
      <c r="S177" s="2" t="n">
        <v>15995</v>
      </c>
      <c r="T177" s="2" t="n">
        <v>24605</v>
      </c>
      <c r="U177" s="2" t="n">
        <v>31985</v>
      </c>
      <c r="V177" s="2" t="n">
        <v>22290</v>
      </c>
      <c r="W177" s="2" t="n">
        <v>24475</v>
      </c>
      <c r="X177" s="2" t="n">
        <v>13980</v>
      </c>
      <c r="Y177" s="2" t="n">
        <v>3595</v>
      </c>
      <c r="AA177" s="2" t="n">
        <v>256.58</v>
      </c>
      <c r="AB177" s="2" t="n">
        <v>26.57</v>
      </c>
      <c r="AC177" s="2" t="n">
        <v>79.70999999999999</v>
      </c>
      <c r="AD177" s="2" t="n">
        <v>255</v>
      </c>
      <c r="AE177" s="2" t="n">
        <v>216.26</v>
      </c>
      <c r="AF177" s="2" t="n">
        <v>103896.7</v>
      </c>
      <c r="AG177" s="2" t="n">
        <v>3424.74</v>
      </c>
    </row>
    <row r="178" ht="16" customHeight="1">
      <c r="A178" s="2" t="inlineStr">
        <is>
          <t>11/04/2025</t>
        </is>
      </c>
      <c r="B178" s="2" t="n">
        <v>110680</v>
      </c>
      <c r="C178" s="2" t="n">
        <v>1073750</v>
      </c>
      <c r="D178" s="2" t="n">
        <v>1056830</v>
      </c>
      <c r="E178" s="2" t="n">
        <v>100.4</v>
      </c>
      <c r="F178" s="2" t="n">
        <v>86.87</v>
      </c>
      <c r="G178" s="2" t="n">
        <v>99.73999999999999</v>
      </c>
      <c r="H178" s="2" t="n">
        <v>77.2</v>
      </c>
      <c r="I178" s="2" t="n">
        <v>109.97</v>
      </c>
      <c r="J178" s="2" t="n">
        <v>1506</v>
      </c>
      <c r="K178" s="2" t="n">
        <v>1443.79</v>
      </c>
      <c r="L178" s="2" t="n">
        <v>26705</v>
      </c>
      <c r="M178" s="2" t="n">
        <v>10645</v>
      </c>
      <c r="N178" s="2" t="n">
        <v>10190</v>
      </c>
      <c r="O178" s="2" t="n"/>
      <c r="P178" s="2" t="n">
        <v>57.17</v>
      </c>
      <c r="Q178" s="2" t="n">
        <v>50.05</v>
      </c>
      <c r="R178" s="2" t="n">
        <v>12470</v>
      </c>
      <c r="S178" s="2" t="n">
        <v>16485</v>
      </c>
      <c r="T178" s="2" t="n">
        <v>24490</v>
      </c>
      <c r="U178" s="2" t="n">
        <v>32880</v>
      </c>
      <c r="V178" s="2" t="n">
        <v>22200</v>
      </c>
      <c r="W178" s="2" t="n">
        <v>24520</v>
      </c>
      <c r="X178" s="2" t="n">
        <v>13885</v>
      </c>
      <c r="Y178" s="2" t="n">
        <v>3635</v>
      </c>
      <c r="AA178" s="2" t="n">
        <v>254.95</v>
      </c>
      <c r="AB178" s="2" t="n">
        <v>26.44</v>
      </c>
      <c r="AC178" s="2" t="n">
        <v>79.45</v>
      </c>
      <c r="AD178" s="2" t="n">
        <v>246.99</v>
      </c>
      <c r="AE178" s="2" t="n">
        <v>215.38</v>
      </c>
      <c r="AF178" s="2" t="n">
        <v>101504.3</v>
      </c>
      <c r="AG178" s="2" t="n">
        <v>3289.11</v>
      </c>
    </row>
    <row r="179" ht="16" customHeight="1">
      <c r="A179" s="2" t="inlineStr">
        <is>
          <t>11/03/2025</t>
        </is>
      </c>
      <c r="B179" s="2" t="n">
        <v>110675</v>
      </c>
      <c r="C179" s="2" t="n">
        <v>1073670</v>
      </c>
      <c r="D179" s="2" t="n">
        <v>1056755</v>
      </c>
      <c r="E179" s="2" t="n">
        <v>100.4</v>
      </c>
      <c r="F179" s="2" t="n">
        <v>88.59999999999999</v>
      </c>
      <c r="G179" s="2" t="n">
        <v>99.61</v>
      </c>
      <c r="H179" s="2" t="n">
        <v>78.14</v>
      </c>
      <c r="I179" s="2" t="n">
        <v>110.75</v>
      </c>
      <c r="J179" s="2" t="n">
        <v>1488</v>
      </c>
      <c r="K179" s="2" t="n">
        <v>1429.96</v>
      </c>
      <c r="L179" s="2" t="n">
        <v>26450</v>
      </c>
      <c r="M179" s="2" t="n">
        <v>10560</v>
      </c>
      <c r="N179" s="2" t="n">
        <v>10090</v>
      </c>
      <c r="O179" s="2" t="n"/>
      <c r="P179" s="2" t="n">
        <v>57.05</v>
      </c>
      <c r="Q179" s="2" t="n">
        <v>50.03</v>
      </c>
      <c r="R179" s="2" t="n">
        <v>12495</v>
      </c>
      <c r="S179" s="2" t="n">
        <v>16085</v>
      </c>
      <c r="T179" s="2" t="n">
        <v>24535</v>
      </c>
      <c r="U179" s="2" t="n">
        <v>33825</v>
      </c>
      <c r="V179" s="2" t="n">
        <v>22225</v>
      </c>
      <c r="W179" s="2" t="n">
        <v>24610</v>
      </c>
      <c r="X179" s="2" t="n">
        <v>13835</v>
      </c>
      <c r="Y179" s="2" t="n">
        <v>3540</v>
      </c>
      <c r="AA179" s="2" t="n">
        <v>260.23</v>
      </c>
      <c r="AB179" s="2" t="n">
        <v>26.47</v>
      </c>
      <c r="AC179" s="2" t="n">
        <v>80.39</v>
      </c>
      <c r="AD179" s="2" t="n">
        <v>264.67</v>
      </c>
      <c r="AE179" s="2" t="n">
        <v>215.97</v>
      </c>
      <c r="AF179" s="2" t="n">
        <v>106578.1</v>
      </c>
      <c r="AG179" s="2" t="n">
        <v>3603.63</v>
      </c>
    </row>
    <row r="180" ht="16" customHeight="1">
      <c r="A180" s="2" t="inlineStr">
        <is>
          <t>11/02/2025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>
        <v>1484</v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AA180" s="2" t="n"/>
      <c r="AB180" s="2" t="n"/>
      <c r="AC180" s="2" t="n"/>
      <c r="AD180" s="2" t="n"/>
      <c r="AE180" s="2" t="n"/>
      <c r="AF180" s="2" t="n">
        <v>110586.6</v>
      </c>
      <c r="AG180" s="2" t="n">
        <v>3908.28</v>
      </c>
    </row>
    <row r="181" ht="16" customHeight="1">
      <c r="A181" s="2" t="inlineStr">
        <is>
          <t>11/01/2025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>
        <v>1490</v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AA181" s="2" t="n"/>
      <c r="AB181" s="2" t="n"/>
      <c r="AC181" s="2" t="n"/>
      <c r="AD181" s="2" t="n"/>
      <c r="AE181" s="2" t="n"/>
      <c r="AF181" s="2" t="n">
        <v>110103.6</v>
      </c>
      <c r="AG181" s="2" t="n">
        <v>3874.8</v>
      </c>
    </row>
    <row r="182" ht="16" customHeight="1">
      <c r="A182" s="2" t="inlineStr">
        <is>
          <t>10/31/2025</t>
        </is>
      </c>
      <c r="B182" s="2" t="n">
        <v>110665</v>
      </c>
      <c r="C182" s="2" t="n">
        <v>1073595</v>
      </c>
      <c r="D182" s="2" t="n">
        <v>1056690</v>
      </c>
      <c r="E182" s="2" t="n">
        <v>100.72</v>
      </c>
      <c r="F182" s="2" t="n">
        <v>86</v>
      </c>
      <c r="G182" s="2" t="n">
        <v>99.38</v>
      </c>
      <c r="H182" s="2" t="n">
        <v>77.34</v>
      </c>
      <c r="I182" s="2" t="n">
        <v>108.83</v>
      </c>
      <c r="J182" s="2" t="n">
        <v>1498</v>
      </c>
      <c r="K182" s="2" t="n">
        <v>1429.22</v>
      </c>
      <c r="L182" s="2" t="n">
        <v>26495</v>
      </c>
      <c r="M182" s="2" t="n">
        <v>10540</v>
      </c>
      <c r="N182" s="2" t="n">
        <v>10135</v>
      </c>
      <c r="O182" s="2" t="n"/>
      <c r="P182" s="2" t="n">
        <v>57.39</v>
      </c>
      <c r="Q182" s="2" t="n">
        <v>50.04</v>
      </c>
      <c r="R182" s="2" t="n">
        <v>12475</v>
      </c>
      <c r="S182" s="2" t="n">
        <v>15750</v>
      </c>
      <c r="T182" s="2" t="n">
        <v>24530</v>
      </c>
      <c r="U182" s="2" t="n">
        <v>32815</v>
      </c>
      <c r="V182" s="2" t="n">
        <v>22235</v>
      </c>
      <c r="W182" s="2" t="n">
        <v>24670</v>
      </c>
      <c r="X182" s="2" t="n">
        <v>13825</v>
      </c>
      <c r="Y182" s="2" t="n">
        <v>3575</v>
      </c>
      <c r="AA182" s="2" t="n">
        <v>258.96</v>
      </c>
      <c r="AB182" s="2" t="n">
        <v>26.75</v>
      </c>
      <c r="AC182" s="2" t="n">
        <v>80.23999999999999</v>
      </c>
      <c r="AD182" s="2" t="n">
        <v>269.51</v>
      </c>
      <c r="AE182" s="2" t="n">
        <v>217.06</v>
      </c>
      <c r="AF182" s="2" t="n">
        <v>109602.8</v>
      </c>
      <c r="AG182" s="2" t="n">
        <v>3848</v>
      </c>
    </row>
    <row r="183" ht="16" customHeight="1">
      <c r="A183" s="2" t="inlineStr">
        <is>
          <t>10/30/2025</t>
        </is>
      </c>
      <c r="B183" s="2" t="n">
        <v>110640</v>
      </c>
      <c r="C183" s="2" t="n">
        <v>1073515</v>
      </c>
      <c r="D183" s="2" t="n">
        <v>1056600</v>
      </c>
      <c r="E183" s="2" t="n">
        <v>100.69</v>
      </c>
      <c r="F183" s="2" t="n">
        <v>83.2</v>
      </c>
      <c r="G183" s="2" t="n">
        <v>98.89</v>
      </c>
      <c r="H183" s="2" t="n">
        <v>77.09999999999999</v>
      </c>
      <c r="I183" s="2" t="n">
        <v>109.51</v>
      </c>
      <c r="J183" s="2" t="n">
        <v>1517</v>
      </c>
      <c r="K183" s="2" t="n">
        <v>1429.37</v>
      </c>
      <c r="L183" s="2" t="n">
        <v>25770</v>
      </c>
      <c r="M183" s="2" t="n">
        <v>10560</v>
      </c>
      <c r="N183" s="2" t="n">
        <v>10190</v>
      </c>
      <c r="O183" s="2" t="n"/>
      <c r="P183" s="2" t="n">
        <v>57.53</v>
      </c>
      <c r="Q183" s="2" t="n">
        <v>49.98</v>
      </c>
      <c r="R183" s="2" t="n">
        <v>12330</v>
      </c>
      <c r="S183" s="2" t="n">
        <v>15585</v>
      </c>
      <c r="T183" s="2" t="n">
        <v>24625</v>
      </c>
      <c r="U183" s="2" t="n">
        <v>32420</v>
      </c>
      <c r="V183" s="2" t="n">
        <v>22320</v>
      </c>
      <c r="W183" s="2" t="n">
        <v>24735</v>
      </c>
      <c r="X183" s="2" t="n">
        <v>13850</v>
      </c>
      <c r="Y183" s="2" t="n">
        <v>3540</v>
      </c>
      <c r="AA183" s="2" t="n">
        <v>257.72</v>
      </c>
      <c r="AB183" s="2" t="n">
        <v>26.68</v>
      </c>
      <c r="AC183" s="2" t="n">
        <v>80</v>
      </c>
      <c r="AD183" s="2" t="n">
        <v>254.57</v>
      </c>
      <c r="AE183" s="2" t="n">
        <v>217.82</v>
      </c>
      <c r="AF183" s="2" t="n">
        <v>108320.1</v>
      </c>
      <c r="AG183" s="2" t="n">
        <v>3803</v>
      </c>
    </row>
    <row r="184" ht="16" customHeight="1">
      <c r="A184" s="2" t="inlineStr">
        <is>
          <t>10/29/2025</t>
        </is>
      </c>
      <c r="B184" s="2" t="n">
        <v>110870</v>
      </c>
      <c r="C184" s="2" t="n">
        <v>1075480</v>
      </c>
      <c r="D184" s="2" t="n">
        <v>1056375</v>
      </c>
      <c r="E184" s="2" t="n">
        <v>100.68</v>
      </c>
      <c r="F184" s="2" t="n">
        <v>86</v>
      </c>
      <c r="G184" s="2" t="n">
        <v>98.72</v>
      </c>
      <c r="H184" s="2" t="n">
        <v>78</v>
      </c>
      <c r="I184" s="2" t="n">
        <v>109.85</v>
      </c>
      <c r="J184" s="2" t="n">
        <v>1494</v>
      </c>
      <c r="K184" s="2" t="n">
        <v>1426.25</v>
      </c>
      <c r="L184" s="2" t="n">
        <v>26010</v>
      </c>
      <c r="M184" s="2" t="n">
        <v>10710</v>
      </c>
      <c r="N184" s="2" t="n">
        <v>10415</v>
      </c>
      <c r="O184" s="2" t="n"/>
      <c r="P184" s="2" t="n">
        <v>57.8</v>
      </c>
      <c r="Q184" s="2" t="n">
        <v>49.98</v>
      </c>
      <c r="R184" s="2" t="n">
        <v>12705</v>
      </c>
      <c r="S184" s="2" t="n">
        <v>15735</v>
      </c>
      <c r="T184" s="2" t="n">
        <v>24865</v>
      </c>
      <c r="U184" s="2" t="n">
        <v>32320</v>
      </c>
      <c r="V184" s="2" t="n">
        <v>22590</v>
      </c>
      <c r="W184" s="2" t="n">
        <v>24950</v>
      </c>
      <c r="X184" s="2" t="n">
        <v>13935</v>
      </c>
      <c r="Y184" s="2" t="n">
        <v>3625</v>
      </c>
      <c r="AA184" s="2" t="n">
        <v>261.79</v>
      </c>
      <c r="AB184" s="2" t="n">
        <v>26.74</v>
      </c>
      <c r="AC184" s="2" t="n">
        <v>80.86</v>
      </c>
      <c r="AD184" s="2" t="n">
        <v>275.36</v>
      </c>
      <c r="AE184" s="2" t="n">
        <v>218.2</v>
      </c>
      <c r="AF184" s="2" t="n">
        <v>110024.6</v>
      </c>
      <c r="AG184" s="2" t="n">
        <v>3902.7</v>
      </c>
    </row>
    <row r="185" ht="16" customHeight="1">
      <c r="A185" s="2" t="inlineStr">
        <is>
          <t>10/28/2025</t>
        </is>
      </c>
      <c r="B185" s="2" t="n">
        <v>110860</v>
      </c>
      <c r="C185" s="2" t="n">
        <v>1075400</v>
      </c>
      <c r="D185" s="2" t="n">
        <v>1056300</v>
      </c>
      <c r="E185" s="2" t="n">
        <v>100.67</v>
      </c>
      <c r="F185" s="2" t="n">
        <v>87.7</v>
      </c>
      <c r="G185" s="2" t="n">
        <v>98.59999999999999</v>
      </c>
      <c r="H185" s="2" t="n">
        <v>78.3</v>
      </c>
      <c r="I185" s="2" t="n">
        <v>109.76</v>
      </c>
      <c r="J185" s="2" t="n">
        <v>1491</v>
      </c>
      <c r="K185" s="2" t="n">
        <v>1431.58</v>
      </c>
      <c r="L185" s="2" t="n">
        <v>25635</v>
      </c>
      <c r="M185" s="2" t="n">
        <v>10750</v>
      </c>
      <c r="N185" s="2" t="n">
        <v>10405</v>
      </c>
      <c r="O185" s="2" t="n"/>
      <c r="P185" s="2" t="n">
        <v>58.34</v>
      </c>
      <c r="Q185" s="2" t="n">
        <v>50.12</v>
      </c>
      <c r="R185" s="2" t="n">
        <v>12885</v>
      </c>
      <c r="S185" s="2" t="n">
        <v>15780</v>
      </c>
      <c r="T185" s="2" t="n">
        <v>24830</v>
      </c>
      <c r="U185" s="2" t="n">
        <v>31655</v>
      </c>
      <c r="V185" s="2" t="n">
        <v>22565</v>
      </c>
      <c r="W185" s="2" t="n">
        <v>24735</v>
      </c>
      <c r="X185" s="2" t="n">
        <v>13955</v>
      </c>
      <c r="Y185" s="2" t="n">
        <v>3695</v>
      </c>
      <c r="AA185" s="2" t="n">
        <v>260.57</v>
      </c>
      <c r="AB185" s="2" t="n">
        <v>27</v>
      </c>
      <c r="AC185" s="2" t="n">
        <v>80.81999999999999</v>
      </c>
      <c r="AD185" s="2" t="n">
        <v>284.64</v>
      </c>
      <c r="AE185" s="2" t="n">
        <v>219.55</v>
      </c>
      <c r="AF185" s="2" t="n">
        <v>112905.8</v>
      </c>
      <c r="AG185" s="2" t="n">
        <v>3979.45</v>
      </c>
    </row>
    <row r="186" ht="16" customHeight="1">
      <c r="A186" s="2" t="inlineStr">
        <is>
          <t>10/27/2025</t>
        </is>
      </c>
      <c r="B186" s="2" t="n">
        <v>110855</v>
      </c>
      <c r="C186" s="2" t="n">
        <v>1075320</v>
      </c>
      <c r="D186" s="2" t="n">
        <v>1056230</v>
      </c>
      <c r="E186" s="2" t="n">
        <v>100.66</v>
      </c>
      <c r="F186" s="2" t="n">
        <v>88.7</v>
      </c>
      <c r="G186" s="2" t="n">
        <v>98.5</v>
      </c>
      <c r="H186" s="2" t="n">
        <v>80.08</v>
      </c>
      <c r="I186" s="2" t="n">
        <v>111.04</v>
      </c>
      <c r="J186" s="2" t="n">
        <v>1480</v>
      </c>
      <c r="K186" s="2" t="n">
        <v>1429.55</v>
      </c>
      <c r="L186" s="2" t="n">
        <v>26505</v>
      </c>
      <c r="M186" s="2" t="n">
        <v>10665</v>
      </c>
      <c r="N186" s="2" t="n">
        <v>10250</v>
      </c>
      <c r="O186" s="2" t="n"/>
      <c r="P186" s="2" t="n">
        <v>58.22</v>
      </c>
      <c r="Q186" s="2" t="n">
        <v>50.14</v>
      </c>
      <c r="R186" s="2" t="n">
        <v>12880</v>
      </c>
      <c r="S186" s="2" t="n">
        <v>15775</v>
      </c>
      <c r="T186" s="2" t="n">
        <v>24660</v>
      </c>
      <c r="U186" s="2" t="n">
        <v>31960</v>
      </c>
      <c r="V186" s="2" t="n">
        <v>22405</v>
      </c>
      <c r="W186" s="2" t="n">
        <v>24480</v>
      </c>
      <c r="X186" s="2" t="n">
        <v>13865</v>
      </c>
      <c r="Y186" s="2" t="n">
        <v>3675</v>
      </c>
      <c r="AA186" s="2" t="n">
        <v>258.58</v>
      </c>
      <c r="AB186" s="2" t="n">
        <v>27.12</v>
      </c>
      <c r="AC186" s="2" t="n">
        <v>80.61</v>
      </c>
      <c r="AD186" s="2" t="n">
        <v>295.63</v>
      </c>
      <c r="AE186" s="2" t="n">
        <v>219.97</v>
      </c>
      <c r="AF186" s="2" t="n">
        <v>114108</v>
      </c>
      <c r="AG186" s="2" t="n">
        <v>4120.9</v>
      </c>
    </row>
    <row r="187" ht="16" customHeight="1">
      <c r="A187" s="2" t="inlineStr">
        <is>
          <t>10/26/2025</t>
        </is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>
        <v>1480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AA187" s="2" t="n"/>
      <c r="AB187" s="2" t="n"/>
      <c r="AC187" s="2" t="n"/>
      <c r="AD187" s="2" t="n"/>
      <c r="AE187" s="2" t="n"/>
      <c r="AF187" s="2" t="n">
        <v>114550.9</v>
      </c>
      <c r="AG187" s="2" t="n">
        <v>4158.33</v>
      </c>
    </row>
    <row r="188" ht="16" customHeight="1">
      <c r="A188" s="2" t="inlineStr">
        <is>
          <t>10/25/2025</t>
        </is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>
        <v>1490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AA188" s="2" t="n"/>
      <c r="AB188" s="2" t="n"/>
      <c r="AC188" s="2" t="n"/>
      <c r="AD188" s="2" t="n"/>
      <c r="AE188" s="2" t="n"/>
      <c r="AF188" s="2" t="n">
        <v>111646.1</v>
      </c>
      <c r="AG188" s="2" t="n">
        <v>3953.92</v>
      </c>
    </row>
    <row r="189" ht="16" customHeight="1">
      <c r="A189" s="2" t="inlineStr">
        <is>
          <t>10/24/2025</t>
        </is>
      </c>
      <c r="B189" s="2" t="n">
        <v>110840</v>
      </c>
      <c r="C189" s="2" t="n">
        <v>1075240</v>
      </c>
      <c r="D189" s="2" t="n">
        <v>1056165</v>
      </c>
      <c r="E189" s="2" t="n">
        <v>100.65</v>
      </c>
      <c r="F189" s="2" t="n">
        <v>87.7</v>
      </c>
      <c r="G189" s="2" t="n">
        <v>98.70999999999999</v>
      </c>
      <c r="H189" s="2" t="n">
        <v>79.86</v>
      </c>
      <c r="I189" s="2" t="n">
        <v>110.21</v>
      </c>
      <c r="J189" s="2" t="n">
        <v>1493</v>
      </c>
      <c r="K189" s="2" t="n">
        <v>1438.97</v>
      </c>
      <c r="L189" s="2" t="n">
        <v>27325</v>
      </c>
      <c r="M189" s="2" t="n">
        <v>10720</v>
      </c>
      <c r="N189" s="2" t="n">
        <v>10360</v>
      </c>
      <c r="O189" s="2" t="n"/>
      <c r="P189" s="2" t="n">
        <v>58.04</v>
      </c>
      <c r="Q189" s="2" t="n">
        <v>50.18</v>
      </c>
      <c r="R189" s="2" t="n">
        <v>12805</v>
      </c>
      <c r="S189" s="2" t="n">
        <v>15230</v>
      </c>
      <c r="T189" s="2" t="n">
        <v>24410</v>
      </c>
      <c r="U189" s="2" t="n">
        <v>31090</v>
      </c>
      <c r="V189" s="2" t="n">
        <v>22180</v>
      </c>
      <c r="W189" s="2" t="n">
        <v>24155</v>
      </c>
      <c r="X189" s="2" t="n">
        <v>13870</v>
      </c>
      <c r="Y189" s="2" t="n">
        <v>3680</v>
      </c>
      <c r="AA189" s="2" t="n">
        <v>254.02</v>
      </c>
      <c r="AB189" s="2" t="n">
        <v>27.03</v>
      </c>
      <c r="AC189" s="2" t="n">
        <v>79.67</v>
      </c>
      <c r="AD189" s="2" t="n">
        <v>289.08</v>
      </c>
      <c r="AE189" s="2" t="n">
        <v>218.51</v>
      </c>
      <c r="AF189" s="2" t="n">
        <v>111013.1</v>
      </c>
      <c r="AG189" s="2" t="n">
        <v>3934.75</v>
      </c>
    </row>
    <row r="190" ht="16" customHeight="1">
      <c r="A190" s="2" t="inlineStr">
        <is>
          <t>10/23/2025</t>
        </is>
      </c>
      <c r="B190" s="2" t="n">
        <v>110820</v>
      </c>
      <c r="C190" s="2" t="n">
        <v>1075160</v>
      </c>
      <c r="D190" s="2" t="n">
        <v>1056070</v>
      </c>
      <c r="E190" s="2" t="n">
        <v>100.62</v>
      </c>
      <c r="F190" s="2" t="n">
        <v>88.40000000000001</v>
      </c>
      <c r="G190" s="2" t="n">
        <v>98.67</v>
      </c>
      <c r="H190" s="2" t="n">
        <v>79</v>
      </c>
      <c r="I190" s="2" t="n">
        <v>110.16</v>
      </c>
      <c r="J190" s="2" t="n">
        <v>1504</v>
      </c>
      <c r="K190" s="2" t="n">
        <v>1436.85</v>
      </c>
      <c r="L190" s="2" t="n">
        <v>27815</v>
      </c>
      <c r="M190" s="2" t="n">
        <v>10765</v>
      </c>
      <c r="N190" s="2" t="n">
        <v>10420</v>
      </c>
      <c r="O190" s="2" t="n"/>
      <c r="P190" s="2" t="n">
        <v>58.03</v>
      </c>
      <c r="Q190" s="2" t="n">
        <v>50.18</v>
      </c>
      <c r="R190" s="2" t="n">
        <v>12810</v>
      </c>
      <c r="S190" s="2" t="n">
        <v>14995</v>
      </c>
      <c r="T190" s="2" t="n">
        <v>24275</v>
      </c>
      <c r="U190" s="2" t="n">
        <v>30325</v>
      </c>
      <c r="V190" s="2" t="n">
        <v>22050</v>
      </c>
      <c r="W190" s="2" t="n">
        <v>23910</v>
      </c>
      <c r="X190" s="2" t="n">
        <v>13855</v>
      </c>
      <c r="Y190" s="2" t="n">
        <v>3735</v>
      </c>
      <c r="AA190" s="2" t="n">
        <v>251.39</v>
      </c>
      <c r="AB190" s="2" t="n">
        <v>27.03</v>
      </c>
      <c r="AC190" s="2" t="n">
        <v>79.01000000000001</v>
      </c>
      <c r="AD190" s="2" t="n">
        <v>284.92</v>
      </c>
      <c r="AE190" s="2" t="n">
        <v>217.13</v>
      </c>
      <c r="AF190" s="2" t="n">
        <v>110078.9</v>
      </c>
      <c r="AG190" s="2" t="n">
        <v>3856.73</v>
      </c>
    </row>
    <row r="191" ht="16" customHeight="1">
      <c r="A191" s="2" t="inlineStr">
        <is>
          <t>10/22/2025</t>
        </is>
      </c>
      <c r="B191" s="2" t="n">
        <v>110810</v>
      </c>
      <c r="C191" s="2" t="n">
        <v>1074930</v>
      </c>
      <c r="D191" s="2" t="n">
        <v>1055850</v>
      </c>
      <c r="E191" s="2" t="n">
        <v>100.61</v>
      </c>
      <c r="F191" s="2" t="n">
        <v>87.98</v>
      </c>
      <c r="G191" s="2" t="n">
        <v>98.12</v>
      </c>
      <c r="H191" s="2" t="n">
        <v>79.06</v>
      </c>
      <c r="I191" s="2" t="n">
        <v>110.08</v>
      </c>
      <c r="J191" s="2" t="n">
        <v>1516</v>
      </c>
      <c r="K191" s="2" t="n">
        <v>1432.01</v>
      </c>
      <c r="L191" s="2" t="n">
        <v>27740</v>
      </c>
      <c r="M191" s="2" t="n">
        <v>10695</v>
      </c>
      <c r="N191" s="2" t="n">
        <v>10380</v>
      </c>
      <c r="O191" s="2" t="n"/>
      <c r="P191" s="2" t="n">
        <v>58.38</v>
      </c>
      <c r="Q191" s="2" t="n">
        <v>50.22</v>
      </c>
      <c r="R191" s="2" t="n">
        <v>12760</v>
      </c>
      <c r="S191" s="2" t="n">
        <v>15145</v>
      </c>
      <c r="T191" s="2" t="n">
        <v>24250</v>
      </c>
      <c r="U191" s="2" t="n">
        <v>30655</v>
      </c>
      <c r="V191" s="2" t="n">
        <v>22030</v>
      </c>
      <c r="W191" s="2" t="n">
        <v>23985</v>
      </c>
      <c r="X191" s="2" t="n">
        <v>13800</v>
      </c>
      <c r="Y191" s="2" t="n">
        <v>3745</v>
      </c>
      <c r="AA191" s="2" t="n">
        <v>249.26</v>
      </c>
      <c r="AB191" s="2" t="n">
        <v>26.99</v>
      </c>
      <c r="AC191" s="2" t="n">
        <v>78.55</v>
      </c>
      <c r="AD191" s="2" t="n">
        <v>280.81</v>
      </c>
      <c r="AE191" s="2" t="n">
        <v>216.25</v>
      </c>
      <c r="AF191" s="2" t="n">
        <v>107587.5</v>
      </c>
      <c r="AG191" s="2" t="n">
        <v>3805.16</v>
      </c>
    </row>
    <row r="192" ht="16" customHeight="1">
      <c r="A192" s="2" t="inlineStr">
        <is>
          <t>10/21/2025</t>
        </is>
      </c>
      <c r="B192" s="2" t="n">
        <v>110805</v>
      </c>
      <c r="C192" s="2" t="n">
        <v>1074855</v>
      </c>
      <c r="D192" s="2" t="n">
        <v>1055775</v>
      </c>
      <c r="E192" s="2" t="n">
        <v>100.6</v>
      </c>
      <c r="F192" s="2" t="n">
        <v>88.38</v>
      </c>
      <c r="G192" s="2" t="n">
        <v>98.63</v>
      </c>
      <c r="H192" s="2" t="n">
        <v>79.31999999999999</v>
      </c>
      <c r="I192" s="2" t="n">
        <v>111.14</v>
      </c>
      <c r="J192" s="2" t="n">
        <v>1506</v>
      </c>
      <c r="K192" s="2" t="n">
        <v>1431.29</v>
      </c>
      <c r="L192" s="2" t="n">
        <v>29425</v>
      </c>
      <c r="M192" s="2" t="n">
        <v>10645</v>
      </c>
      <c r="N192" s="2" t="n">
        <v>10305</v>
      </c>
      <c r="O192" s="2" t="n"/>
      <c r="P192" s="2" t="n">
        <v>58.34</v>
      </c>
      <c r="Q192" s="2" t="n">
        <v>50.19</v>
      </c>
      <c r="R192" s="2" t="n">
        <v>12820</v>
      </c>
      <c r="S192" s="2" t="n">
        <v>14965</v>
      </c>
      <c r="T192" s="2" t="n">
        <v>24150</v>
      </c>
      <c r="U192" s="2" t="n">
        <v>30290</v>
      </c>
      <c r="V192" s="2" t="n">
        <v>21945</v>
      </c>
      <c r="W192" s="2" t="n">
        <v>23915</v>
      </c>
      <c r="X192" s="2" t="n">
        <v>13780</v>
      </c>
      <c r="Y192" s="2" t="n">
        <v>3760</v>
      </c>
      <c r="AA192" s="2" t="n">
        <v>251.69</v>
      </c>
      <c r="AB192" s="2" t="n">
        <v>27.07</v>
      </c>
      <c r="AC192" s="2" t="n">
        <v>78.97</v>
      </c>
      <c r="AD192" s="2" t="n">
        <v>301.91</v>
      </c>
      <c r="AE192" s="2" t="n">
        <v>217.13</v>
      </c>
      <c r="AF192" s="2" t="n">
        <v>108340.9</v>
      </c>
      <c r="AG192" s="2" t="n">
        <v>3874.27</v>
      </c>
    </row>
    <row r="193" ht="16" customHeight="1">
      <c r="A193" s="2" t="inlineStr">
        <is>
          <t>10/20/2025</t>
        </is>
      </c>
      <c r="B193" s="2" t="n">
        <v>110800</v>
      </c>
      <c r="C193" s="2" t="n">
        <v>1074775</v>
      </c>
      <c r="D193" s="2" t="n">
        <v>1055720</v>
      </c>
      <c r="E193" s="2" t="n">
        <v>100.58</v>
      </c>
      <c r="F193" s="2" t="n">
        <v>88.5</v>
      </c>
      <c r="G193" s="2" t="n">
        <v>98.62</v>
      </c>
      <c r="H193" s="2" t="n">
        <v>79.34999999999999</v>
      </c>
      <c r="I193" s="2" t="n">
        <v>110.01</v>
      </c>
      <c r="J193" s="2" t="n">
        <v>1500</v>
      </c>
      <c r="K193" s="2" t="n">
        <v>1421.18</v>
      </c>
      <c r="L193" s="2" t="n">
        <v>29570</v>
      </c>
      <c r="M193" s="2" t="n">
        <v>10575</v>
      </c>
      <c r="N193" s="2" t="n">
        <v>10180</v>
      </c>
      <c r="O193" s="2" t="n"/>
      <c r="P193" s="2" t="n">
        <v>58.08</v>
      </c>
      <c r="Q193" s="2" t="n">
        <v>50.15</v>
      </c>
      <c r="R193" s="2" t="n">
        <v>12700</v>
      </c>
      <c r="S193" s="2" t="n">
        <v>15015</v>
      </c>
      <c r="T193" s="2" t="n">
        <v>23850</v>
      </c>
      <c r="U193" s="2" t="n">
        <v>30220</v>
      </c>
      <c r="V193" s="2" t="n">
        <v>21675</v>
      </c>
      <c r="W193" s="2" t="n">
        <v>23595</v>
      </c>
      <c r="X193" s="2" t="n">
        <v>13660</v>
      </c>
      <c r="Y193" s="2" t="n">
        <v>3780</v>
      </c>
      <c r="AA193" s="2" t="n">
        <v>251.76</v>
      </c>
      <c r="AB193" s="2" t="n">
        <v>26.99</v>
      </c>
      <c r="AC193" s="2" t="n">
        <v>78.97</v>
      </c>
      <c r="AD193" s="2" t="n">
        <v>296.61</v>
      </c>
      <c r="AE193" s="2" t="n">
        <v>217.26</v>
      </c>
      <c r="AF193" s="2" t="n">
        <v>110544</v>
      </c>
      <c r="AG193" s="2" t="n">
        <v>3979.43</v>
      </c>
    </row>
    <row r="194" ht="16" customHeight="1">
      <c r="A194" s="2" t="inlineStr">
        <is>
          <t>10/19/2025</t>
        </is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>
        <v>1516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AA194" s="2" t="n"/>
      <c r="AB194" s="2" t="n"/>
      <c r="AC194" s="2" t="n"/>
      <c r="AD194" s="2" t="n"/>
      <c r="AE194" s="2" t="n"/>
      <c r="AF194" s="2" t="n">
        <v>108658.2</v>
      </c>
      <c r="AG194" s="2" t="n">
        <v>3982.53</v>
      </c>
    </row>
    <row r="195" ht="16" customHeight="1">
      <c r="A195" s="2" t="inlineStr">
        <is>
          <t>10/18/2025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>
        <v>1526</v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AA195" s="2" t="n"/>
      <c r="AB195" s="2" t="n"/>
      <c r="AC195" s="2" t="n"/>
      <c r="AD195" s="2" t="n"/>
      <c r="AE195" s="2" t="n"/>
      <c r="AF195" s="2" t="n">
        <v>107193.5</v>
      </c>
      <c r="AG195" s="2" t="n">
        <v>3888.87</v>
      </c>
    </row>
    <row r="196" ht="16" customHeight="1">
      <c r="A196" s="2" t="inlineStr">
        <is>
          <t>10/17/2025</t>
        </is>
      </c>
      <c r="B196" s="2" t="n">
        <v>110790</v>
      </c>
      <c r="C196" s="2" t="n">
        <v>1074695</v>
      </c>
      <c r="D196" s="2" t="n">
        <v>1055645</v>
      </c>
      <c r="E196" s="2" t="n">
        <v>100.57</v>
      </c>
      <c r="F196" s="2" t="n">
        <v>87.62</v>
      </c>
      <c r="G196" s="2" t="n">
        <v>97.40000000000001</v>
      </c>
      <c r="H196" s="2" t="n">
        <v>78.63</v>
      </c>
      <c r="I196" s="2" t="n">
        <v>109.79</v>
      </c>
      <c r="J196" s="2" t="n">
        <v>1537</v>
      </c>
      <c r="K196" s="2" t="n">
        <v>1421.74</v>
      </c>
      <c r="L196" s="2" t="n">
        <v>31275</v>
      </c>
      <c r="M196" s="2" t="n">
        <v>10620</v>
      </c>
      <c r="N196" s="2" t="n">
        <v>10260</v>
      </c>
      <c r="O196" s="2" t="n"/>
      <c r="P196" s="2" t="n">
        <v>57.86</v>
      </c>
      <c r="Q196" s="2" t="n">
        <v>50.13</v>
      </c>
      <c r="R196" s="2" t="n">
        <v>12525</v>
      </c>
      <c r="S196" s="2" t="n">
        <v>14655</v>
      </c>
      <c r="T196" s="2" t="n">
        <v>23520</v>
      </c>
      <c r="U196" s="2" t="n">
        <v>29675</v>
      </c>
      <c r="V196" s="2" t="n">
        <v>21370</v>
      </c>
      <c r="W196" s="2" t="n">
        <v>23190</v>
      </c>
      <c r="X196" s="2" t="n">
        <v>13600</v>
      </c>
      <c r="Y196" s="2" t="n">
        <v>3780</v>
      </c>
      <c r="AA196" s="2" t="n">
        <v>248.61</v>
      </c>
      <c r="AB196" s="2" t="n">
        <v>26.79</v>
      </c>
      <c r="AC196" s="2" t="n">
        <v>78.16</v>
      </c>
      <c r="AD196" s="2" t="n">
        <v>289.87</v>
      </c>
      <c r="AE196" s="2" t="n">
        <v>215.74</v>
      </c>
      <c r="AF196" s="2" t="n">
        <v>106443.5</v>
      </c>
      <c r="AG196" s="2" t="n">
        <v>3831.6</v>
      </c>
    </row>
    <row r="197" ht="16" customHeight="1">
      <c r="A197" s="2" t="inlineStr">
        <is>
          <t>10/16/2025</t>
        </is>
      </c>
      <c r="B197" s="2" t="n">
        <v>110770</v>
      </c>
      <c r="C197" s="2" t="n">
        <v>1074615</v>
      </c>
      <c r="D197" s="2" t="n">
        <v>1055560</v>
      </c>
      <c r="E197" s="2" t="n">
        <v>100.54</v>
      </c>
      <c r="F197" s="2" t="n">
        <v>87.81</v>
      </c>
      <c r="G197" s="2" t="n">
        <v>97.3</v>
      </c>
      <c r="H197" s="2" t="n">
        <v>78.97</v>
      </c>
      <c r="I197" s="2" t="n">
        <v>110.2</v>
      </c>
      <c r="J197" s="2" t="n">
        <v>1528</v>
      </c>
      <c r="K197" s="2" t="n">
        <v>1416.86</v>
      </c>
      <c r="L197" s="2" t="n">
        <v>30710</v>
      </c>
      <c r="M197" s="2" t="n">
        <v>10540</v>
      </c>
      <c r="N197" s="2" t="n">
        <v>10145</v>
      </c>
      <c r="O197" s="2" t="n"/>
      <c r="P197" s="2" t="n">
        <v>57.99</v>
      </c>
      <c r="Q197" s="2" t="n">
        <v>50.17</v>
      </c>
      <c r="R197" s="2" t="n">
        <v>12635</v>
      </c>
      <c r="S197" s="2" t="n">
        <v>14565</v>
      </c>
      <c r="T197" s="2" t="n">
        <v>23820</v>
      </c>
      <c r="U197" s="2" t="n">
        <v>29600</v>
      </c>
      <c r="V197" s="2" t="n">
        <v>21640</v>
      </c>
      <c r="W197" s="2" t="n">
        <v>23460</v>
      </c>
      <c r="X197" s="2" t="n">
        <v>13630</v>
      </c>
      <c r="Y197" s="2" t="n">
        <v>3860</v>
      </c>
      <c r="AA197" s="2" t="n">
        <v>247</v>
      </c>
      <c r="AB197" s="2" t="n">
        <v>26.57</v>
      </c>
      <c r="AC197" s="2" t="n">
        <v>77.73</v>
      </c>
      <c r="AD197" s="2" t="n">
        <v>283.84</v>
      </c>
      <c r="AE197" s="2" t="n">
        <v>215.16</v>
      </c>
      <c r="AF197" s="2" t="n">
        <v>108204.8</v>
      </c>
      <c r="AG197" s="2" t="n">
        <v>3894.48</v>
      </c>
    </row>
    <row r="198" ht="16" customHeight="1">
      <c r="A198" s="2" t="inlineStr">
        <is>
          <t>10/15/2025</t>
        </is>
      </c>
      <c r="B198" s="2" t="n">
        <v>110760</v>
      </c>
      <c r="C198" s="2" t="n">
        <v>1074395</v>
      </c>
      <c r="D198" s="2" t="n">
        <v>1055335</v>
      </c>
      <c r="E198" s="2" t="n">
        <v>100.53</v>
      </c>
      <c r="F198" s="2" t="n">
        <v>89.76000000000001</v>
      </c>
      <c r="G198" s="2" t="n">
        <v>98.38</v>
      </c>
      <c r="H198" s="2" t="n">
        <v>79.73999999999999</v>
      </c>
      <c r="I198" s="2" t="n">
        <v>111</v>
      </c>
      <c r="J198" s="2" t="n">
        <v>1522</v>
      </c>
      <c r="K198" s="2" t="n">
        <v>1421.29</v>
      </c>
      <c r="L198" s="2" t="n">
        <v>32015</v>
      </c>
      <c r="M198" s="2" t="n">
        <v>10570</v>
      </c>
      <c r="N198" s="2" t="n">
        <v>10175</v>
      </c>
      <c r="O198" s="2" t="n"/>
      <c r="P198" s="2" t="n">
        <v>57.57</v>
      </c>
      <c r="Q198" s="2" t="n">
        <v>50.11</v>
      </c>
      <c r="R198" s="2" t="n">
        <v>12485</v>
      </c>
      <c r="S198" s="2" t="n">
        <v>14465</v>
      </c>
      <c r="T198" s="2" t="n">
        <v>23830</v>
      </c>
      <c r="U198" s="2" t="n">
        <v>28835</v>
      </c>
      <c r="V198" s="2" t="n">
        <v>21650</v>
      </c>
      <c r="W198" s="2" t="n">
        <v>23415</v>
      </c>
      <c r="X198" s="2" t="n">
        <v>13670</v>
      </c>
      <c r="Y198" s="2" t="n">
        <v>3895</v>
      </c>
      <c r="AA198" s="2" t="n">
        <v>247.88</v>
      </c>
      <c r="AB198" s="2" t="n">
        <v>26.78</v>
      </c>
      <c r="AC198" s="2" t="n">
        <v>78.23999999999999</v>
      </c>
      <c r="AD198" s="2" t="n">
        <v>296.76</v>
      </c>
      <c r="AE198" s="2" t="n">
        <v>217.05</v>
      </c>
      <c r="AF198" s="2" t="n">
        <v>110767.4</v>
      </c>
      <c r="AG198" s="2" t="n">
        <v>3985.52</v>
      </c>
    </row>
    <row r="199" ht="16" customHeight="1">
      <c r="A199" s="2" t="inlineStr">
        <is>
          <t>10/14/2025</t>
        </is>
      </c>
      <c r="B199" s="2" t="n">
        <v>110760</v>
      </c>
      <c r="C199" s="2" t="n">
        <v>1074320</v>
      </c>
      <c r="D199" s="2" t="n">
        <v>1055265</v>
      </c>
      <c r="E199" s="2" t="n">
        <v>100.51</v>
      </c>
      <c r="F199" s="2" t="n">
        <v>90.19</v>
      </c>
      <c r="G199" s="2" t="n">
        <v>98.8</v>
      </c>
      <c r="H199" s="2" t="n">
        <v>80.06</v>
      </c>
      <c r="I199" s="2" t="n">
        <v>111.26</v>
      </c>
      <c r="J199" s="2" t="n">
        <v>1504</v>
      </c>
      <c r="K199" s="2" t="n">
        <v>1428.77</v>
      </c>
      <c r="L199" s="2" t="n">
        <v>30825</v>
      </c>
      <c r="M199" s="2" t="n">
        <v>10660</v>
      </c>
      <c r="N199" s="2" t="n">
        <v>10270</v>
      </c>
      <c r="O199" s="2" t="n"/>
      <c r="P199" s="2" t="n">
        <v>57.7</v>
      </c>
      <c r="Q199" s="2" t="n">
        <v>50.12</v>
      </c>
      <c r="R199" s="2" t="n">
        <v>12350</v>
      </c>
      <c r="S199" s="2" t="n">
        <v>14315</v>
      </c>
      <c r="T199" s="2" t="n">
        <v>23790</v>
      </c>
      <c r="U199" s="2" t="n">
        <v>28060</v>
      </c>
      <c r="V199" s="2" t="n">
        <v>21610</v>
      </c>
      <c r="W199" s="2" t="n">
        <v>23425</v>
      </c>
      <c r="X199" s="2" t="n">
        <v>13715</v>
      </c>
      <c r="Y199" s="2" t="n">
        <v>3890</v>
      </c>
      <c r="AA199" s="2" t="n">
        <v>246.21</v>
      </c>
      <c r="AB199" s="2" t="n">
        <v>26.87</v>
      </c>
      <c r="AC199" s="2" t="n">
        <v>77.91</v>
      </c>
      <c r="AD199" s="2" t="n">
        <v>300.67</v>
      </c>
      <c r="AE199" s="2" t="n">
        <v>216.29</v>
      </c>
      <c r="AF199" s="2" t="n">
        <v>113030.8</v>
      </c>
      <c r="AG199" s="2" t="n">
        <v>4122.38</v>
      </c>
    </row>
    <row r="200" ht="16" customHeight="1">
      <c r="A200" s="2" t="inlineStr">
        <is>
          <t>10/13/2025</t>
        </is>
      </c>
      <c r="B200" s="2" t="n">
        <v>110750</v>
      </c>
      <c r="C200" s="2" t="n">
        <v>1074245</v>
      </c>
      <c r="D200" s="2" t="n">
        <v>1055190</v>
      </c>
      <c r="E200" s="2" t="n">
        <v>100.5</v>
      </c>
      <c r="F200" s="2" t="n">
        <v>92.31</v>
      </c>
      <c r="G200" s="2" t="n">
        <v>99.03</v>
      </c>
      <c r="H200" s="2" t="n">
        <v>80.81</v>
      </c>
      <c r="I200" s="2" t="n">
        <v>112.11</v>
      </c>
      <c r="J200" s="2" t="n">
        <v>1490</v>
      </c>
      <c r="K200" s="2" t="n">
        <v>1426.5</v>
      </c>
      <c r="L200" s="2" t="n">
        <v>29500</v>
      </c>
      <c r="M200" s="2" t="n">
        <v>10585</v>
      </c>
      <c r="N200" s="2" t="n">
        <v>10140</v>
      </c>
      <c r="O200" s="2" t="n"/>
      <c r="P200" s="2" t="n">
        <v>57.5</v>
      </c>
      <c r="Q200" s="2" t="n">
        <v>50.13</v>
      </c>
      <c r="R200" s="2" t="n">
        <v>12350</v>
      </c>
      <c r="S200" s="2" t="n">
        <v>14520</v>
      </c>
      <c r="T200" s="2" t="n">
        <v>23780</v>
      </c>
      <c r="U200" s="2" t="n">
        <v>28350</v>
      </c>
      <c r="V200" s="2" t="n">
        <v>21605</v>
      </c>
      <c r="W200" s="2" t="n">
        <v>23425</v>
      </c>
      <c r="X200" s="2" t="n">
        <v>13680</v>
      </c>
      <c r="Y200" s="2" t="n">
        <v>3910</v>
      </c>
      <c r="AA200" s="2" t="n">
        <v>247.83</v>
      </c>
      <c r="AB200" s="2" t="n">
        <v>26.63</v>
      </c>
      <c r="AC200" s="2" t="n">
        <v>78</v>
      </c>
      <c r="AD200" s="2" t="n">
        <v>315.47</v>
      </c>
      <c r="AE200" s="2" t="n">
        <v>215.41</v>
      </c>
      <c r="AF200" s="2" t="n">
        <v>115174.8</v>
      </c>
      <c r="AG200" s="2" t="n">
        <v>4240.91</v>
      </c>
    </row>
    <row r="201" ht="16" customHeight="1">
      <c r="A201" s="2" t="inlineStr">
        <is>
          <t>10/12/2025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>
        <v>1511</v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AA201" s="2" t="n"/>
      <c r="AB201" s="2" t="n"/>
      <c r="AC201" s="2" t="n"/>
      <c r="AD201" s="2" t="n"/>
      <c r="AE201" s="2" t="n"/>
      <c r="AF201" s="2" t="n">
        <v>114986</v>
      </c>
      <c r="AG201" s="2" t="n">
        <v>4153.64</v>
      </c>
    </row>
    <row r="202" ht="16" customHeight="1">
      <c r="A202" s="2" t="inlineStr">
        <is>
          <t>10/11/2025</t>
        </is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>
        <v>1541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AA202" s="2" t="n"/>
      <c r="AB202" s="2" t="n"/>
      <c r="AC202" s="2" t="n"/>
      <c r="AD202" s="2" t="n"/>
      <c r="AE202" s="2" t="n"/>
      <c r="AF202" s="2" t="n">
        <v>110671.5</v>
      </c>
      <c r="AG202" s="2" t="n">
        <v>3745.85</v>
      </c>
    </row>
    <row r="203" ht="16" customHeight="1">
      <c r="A203" s="2" t="inlineStr">
        <is>
          <t>10/10/2025</t>
        </is>
      </c>
      <c r="B203" s="2" t="n">
        <v>110750</v>
      </c>
      <c r="C203" s="2" t="n">
        <v>1074170</v>
      </c>
      <c r="D203" s="2" t="n">
        <v>1055140</v>
      </c>
      <c r="E203" s="2" t="n">
        <v>100.51</v>
      </c>
      <c r="F203" s="2" t="n">
        <v>92.03</v>
      </c>
      <c r="G203" s="2" t="n">
        <v>98.63</v>
      </c>
      <c r="H203" s="2" t="n">
        <v>81</v>
      </c>
      <c r="I203" s="2" t="n">
        <v>114.49</v>
      </c>
      <c r="J203" s="2" t="n">
        <v>1533</v>
      </c>
      <c r="K203" s="2" t="n">
        <v>1429.55</v>
      </c>
      <c r="L203" s="2" t="n">
        <v>27945</v>
      </c>
      <c r="M203" s="2" t="n">
        <v>10500</v>
      </c>
      <c r="N203" s="2" t="n">
        <v>9980</v>
      </c>
      <c r="O203" s="2" t="n"/>
      <c r="P203" s="2" t="n">
        <v>57.53</v>
      </c>
      <c r="Q203" s="2" t="n">
        <v>50.09</v>
      </c>
      <c r="R203" s="2" t="n">
        <v>12435</v>
      </c>
      <c r="S203" s="2" t="n">
        <v>14535</v>
      </c>
      <c r="T203" s="2" t="n">
        <v>24085</v>
      </c>
      <c r="U203" s="2" t="n">
        <v>28595</v>
      </c>
      <c r="V203" s="2" t="n">
        <v>21890</v>
      </c>
      <c r="W203" s="2" t="n">
        <v>23825</v>
      </c>
      <c r="X203" s="2" t="n">
        <v>13670</v>
      </c>
      <c r="Y203" s="2" t="n">
        <v>3925</v>
      </c>
      <c r="AA203" s="2" t="n">
        <v>242.67</v>
      </c>
      <c r="AB203" s="2" t="n">
        <v>26.54</v>
      </c>
      <c r="AC203" s="2" t="n">
        <v>76.84</v>
      </c>
      <c r="AD203" s="2" t="n">
        <v>304.79</v>
      </c>
      <c r="AE203" s="2" t="n">
        <v>212.59</v>
      </c>
      <c r="AF203" s="2" t="n">
        <v>112878.6</v>
      </c>
      <c r="AG203" s="2" t="n">
        <v>3829.58</v>
      </c>
    </row>
    <row r="204" ht="16" customHeight="1">
      <c r="A204" s="2" t="inlineStr">
        <is>
          <t>10/09/2025</t>
        </is>
      </c>
      <c r="B204" s="2" t="n"/>
      <c r="C204" s="2" t="n"/>
      <c r="D204" s="2" t="n"/>
      <c r="E204" s="2" t="n">
        <v>100.46</v>
      </c>
      <c r="F204" s="2" t="n">
        <v>94.06999999999999</v>
      </c>
      <c r="G204" s="2" t="n">
        <v>98.75</v>
      </c>
      <c r="H204" s="2" t="n">
        <v>82.02</v>
      </c>
      <c r="I204" s="2" t="n">
        <v>115.43</v>
      </c>
      <c r="J204" s="2" t="n">
        <v>1460</v>
      </c>
      <c r="K204" s="2" t="n">
        <v>1422.89</v>
      </c>
      <c r="L204" s="2" t="n"/>
      <c r="M204" s="2" t="n"/>
      <c r="N204" s="2" t="n"/>
      <c r="O204" s="2" t="n"/>
      <c r="P204" s="2" t="n">
        <v>56.73</v>
      </c>
      <c r="Q204" s="2" t="n">
        <v>50.03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AA204" s="2" t="n">
        <v>251.41</v>
      </c>
      <c r="AB204" s="2" t="n">
        <v>27</v>
      </c>
      <c r="AC204" s="2" t="n">
        <v>78.95999999999999</v>
      </c>
      <c r="AD204" s="2" t="n">
        <v>320.29</v>
      </c>
      <c r="AE204" s="2" t="n">
        <v>216.83</v>
      </c>
      <c r="AF204" s="2" t="n">
        <v>121666.3</v>
      </c>
      <c r="AG204" s="2" t="n">
        <v>4367.94</v>
      </c>
    </row>
    <row r="205" ht="16" customHeight="1">
      <c r="A205" s="2" t="inlineStr">
        <is>
          <t>10/08/2025</t>
        </is>
      </c>
      <c r="B205" s="2" t="n"/>
      <c r="C205" s="2" t="n"/>
      <c r="D205" s="2" t="n"/>
      <c r="E205" s="2" t="n">
        <v>100.45</v>
      </c>
      <c r="F205" s="2" t="n">
        <v>95.37</v>
      </c>
      <c r="G205" s="2" t="n">
        <v>98.90000000000001</v>
      </c>
      <c r="H205" s="2" t="n">
        <v>83.12</v>
      </c>
      <c r="I205" s="2" t="n">
        <v>116</v>
      </c>
      <c r="J205" s="2" t="n">
        <v>1443</v>
      </c>
      <c r="K205" s="2" t="n">
        <v>1421.51</v>
      </c>
      <c r="L205" s="2" t="n"/>
      <c r="M205" s="2" t="n"/>
      <c r="N205" s="2" t="n"/>
      <c r="O205" s="2" t="n"/>
      <c r="P205" s="2" t="n">
        <v>56.78</v>
      </c>
      <c r="Q205" s="2" t="n">
        <v>50.05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AA205" s="2" t="n">
        <v>251.71</v>
      </c>
      <c r="AB205" s="2" t="n">
        <v>27.18</v>
      </c>
      <c r="AC205" s="2" t="n">
        <v>79.18000000000001</v>
      </c>
      <c r="AD205" s="2" t="n">
        <v>330.8</v>
      </c>
      <c r="AE205" s="2" t="n">
        <v>217.81</v>
      </c>
      <c r="AF205" s="2" t="n">
        <v>123311.1</v>
      </c>
      <c r="AG205" s="2" t="n">
        <v>4525.69</v>
      </c>
    </row>
    <row r="206" ht="16" customHeight="1">
      <c r="A206" s="2" t="inlineStr">
        <is>
          <t>10/07/2025</t>
        </is>
      </c>
      <c r="B206" s="2" t="n"/>
      <c r="C206" s="2" t="n"/>
      <c r="D206" s="2" t="n"/>
      <c r="E206" s="2" t="n">
        <v>100.44</v>
      </c>
      <c r="F206" s="2" t="n">
        <v>96.2</v>
      </c>
      <c r="G206" s="2" t="n">
        <v>98.7</v>
      </c>
      <c r="H206" s="2" t="n">
        <v>83.68000000000001</v>
      </c>
      <c r="I206" s="2" t="n">
        <v>114.5</v>
      </c>
      <c r="J206" s="2" t="n">
        <v>1448</v>
      </c>
      <c r="K206" s="2" t="n">
        <v>1416.04</v>
      </c>
      <c r="L206" s="2" t="n"/>
      <c r="M206" s="2" t="n"/>
      <c r="N206" s="2" t="n"/>
      <c r="O206" s="2" t="n"/>
      <c r="P206" s="2" t="n">
        <v>56.74</v>
      </c>
      <c r="Q206" s="2" t="n">
        <v>50.04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AA206" s="2" t="n">
        <v>248.85</v>
      </c>
      <c r="AB206" s="2" t="n">
        <v>27.28</v>
      </c>
      <c r="AC206" s="2" t="n">
        <v>78.72</v>
      </c>
      <c r="AD206" s="2" t="n">
        <v>328.4</v>
      </c>
      <c r="AE206" s="2" t="n">
        <v>217.26</v>
      </c>
      <c r="AF206" s="2" t="n">
        <v>121356.6</v>
      </c>
      <c r="AG206" s="2" t="n">
        <v>4447.77</v>
      </c>
    </row>
    <row r="207" ht="16" customHeight="1">
      <c r="A207" s="2" t="inlineStr">
        <is>
          <t>10/06/2025</t>
        </is>
      </c>
      <c r="B207" s="2" t="n">
        <v>110725</v>
      </c>
      <c r="C207" s="2" t="n">
        <v>1074095</v>
      </c>
      <c r="D207" s="2" t="n">
        <v>1055115</v>
      </c>
      <c r="E207" s="2" t="n">
        <v>100.42</v>
      </c>
      <c r="F207" s="2" t="n">
        <v>98.94</v>
      </c>
      <c r="G207" s="2" t="n">
        <v>99.15000000000001</v>
      </c>
      <c r="H207" s="2" t="n">
        <v>84.15000000000001</v>
      </c>
      <c r="I207" s="2" t="n">
        <v>116.5</v>
      </c>
      <c r="J207" s="2" t="n">
        <v>1425</v>
      </c>
      <c r="K207" s="2" t="n">
        <v>1410.69</v>
      </c>
      <c r="L207" s="2" t="n">
        <v>26360</v>
      </c>
      <c r="M207" s="2" t="n">
        <v>10345</v>
      </c>
      <c r="N207" s="2" t="n">
        <v>9840</v>
      </c>
      <c r="O207" s="2" t="n"/>
      <c r="P207" s="2" t="n">
        <v>56.44</v>
      </c>
      <c r="Q207" s="2" t="n">
        <v>50.01</v>
      </c>
      <c r="R207" s="2" t="n">
        <v>12710</v>
      </c>
      <c r="S207" s="2" t="n">
        <v>14480</v>
      </c>
      <c r="T207" s="2" t="n">
        <v>23625</v>
      </c>
      <c r="U207" s="2" t="n">
        <v>27870</v>
      </c>
      <c r="V207" s="2" t="n">
        <v>21465</v>
      </c>
      <c r="W207" s="2" t="n">
        <v>23215</v>
      </c>
      <c r="X207" s="2" t="n">
        <v>13465</v>
      </c>
      <c r="Y207" s="2" t="n">
        <v>4000</v>
      </c>
      <c r="AA207" s="2" t="n">
        <v>250.17</v>
      </c>
      <c r="AB207" s="2" t="n">
        <v>27.34</v>
      </c>
      <c r="AC207" s="2" t="n">
        <v>79.01000000000001</v>
      </c>
      <c r="AD207" s="2" t="n">
        <v>359.69</v>
      </c>
      <c r="AE207" s="2" t="n">
        <v>217.77</v>
      </c>
      <c r="AF207" s="2" t="n">
        <v>124725.1</v>
      </c>
      <c r="AG207" s="2" t="n">
        <v>4686.2</v>
      </c>
    </row>
    <row r="208" ht="16" customHeight="1">
      <c r="A208" s="2" t="inlineStr">
        <is>
          <t>10/05/2025</t>
        </is>
      </c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>
        <v>1434</v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AA208" s="2" t="n"/>
      <c r="AB208" s="2" t="n"/>
      <c r="AC208" s="2" t="n"/>
      <c r="AD208" s="2" t="n"/>
      <c r="AE208" s="2" t="n"/>
      <c r="AF208" s="2" t="n">
        <v>123475.5</v>
      </c>
      <c r="AG208" s="2" t="n">
        <v>4514.27</v>
      </c>
    </row>
    <row r="209" ht="16" customHeight="1">
      <c r="A209" s="2" t="inlineStr">
        <is>
          <t>10/04/2025</t>
        </is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>
        <v>1430</v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AA209" s="2" t="n"/>
      <c r="AB209" s="2" t="n"/>
      <c r="AC209" s="2" t="n"/>
      <c r="AD209" s="2" t="n"/>
      <c r="AE209" s="2" t="n"/>
      <c r="AF209" s="2" t="n">
        <v>122387.1</v>
      </c>
      <c r="AG209" s="2" t="n">
        <v>4487.37</v>
      </c>
    </row>
    <row r="210" ht="16" customHeight="1">
      <c r="A210" s="2" t="inlineStr">
        <is>
          <t>10/03/2025</t>
        </is>
      </c>
      <c r="B210" s="2" t="n"/>
      <c r="C210" s="2" t="n"/>
      <c r="D210" s="2" t="n"/>
      <c r="E210" s="2" t="n">
        <v>100.42</v>
      </c>
      <c r="F210" s="2" t="n">
        <v>98.86</v>
      </c>
      <c r="G210" s="2" t="n">
        <v>99</v>
      </c>
      <c r="H210" s="2" t="n">
        <v>83.42</v>
      </c>
      <c r="I210" s="2" t="n">
        <v>115.99</v>
      </c>
      <c r="J210" s="2" t="n">
        <v>1419</v>
      </c>
      <c r="K210" s="2" t="n">
        <v>1407.57</v>
      </c>
      <c r="L210" s="2" t="n"/>
      <c r="M210" s="2" t="n"/>
      <c r="N210" s="2" t="n"/>
      <c r="O210" s="2" t="n"/>
      <c r="P210" s="2" t="n">
        <v>56.82</v>
      </c>
      <c r="Q210" s="2" t="n">
        <v>49.99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AA210" s="2" t="n">
        <v>248.32</v>
      </c>
      <c r="AB210" s="2" t="n">
        <v>27.41</v>
      </c>
      <c r="AC210" s="2" t="n">
        <v>78.73</v>
      </c>
      <c r="AD210" s="2" t="n">
        <v>351.63</v>
      </c>
      <c r="AE210" s="2" t="n">
        <v>217.79</v>
      </c>
      <c r="AF210" s="2" t="n">
        <v>122224.2</v>
      </c>
      <c r="AG210" s="2" t="n">
        <v>4511.06</v>
      </c>
    </row>
    <row r="211" ht="16" customHeight="1">
      <c r="A211" s="2" t="inlineStr">
        <is>
          <t>10/02/2025</t>
        </is>
      </c>
      <c r="B211" s="2" t="n">
        <v>110725</v>
      </c>
      <c r="C211" s="2" t="n">
        <v>1074095</v>
      </c>
      <c r="D211" s="2" t="n">
        <v>1055115</v>
      </c>
      <c r="E211" s="2" t="n">
        <v>100.38</v>
      </c>
      <c r="F211" s="2" t="n">
        <v>97.14</v>
      </c>
      <c r="G211" s="2" t="n">
        <v>98.97</v>
      </c>
      <c r="H211" s="2" t="n">
        <v>82.78</v>
      </c>
      <c r="I211" s="2" t="n">
        <v>114.7</v>
      </c>
      <c r="J211" s="2" t="n">
        <v>1417</v>
      </c>
      <c r="K211" s="2" t="n">
        <v>1406.03</v>
      </c>
      <c r="L211" s="2" t="n">
        <v>26360</v>
      </c>
      <c r="M211" s="2" t="n">
        <v>10345</v>
      </c>
      <c r="N211" s="2" t="n">
        <v>9840</v>
      </c>
      <c r="O211" s="2" t="n"/>
      <c r="P211" s="2" t="n">
        <v>56.95</v>
      </c>
      <c r="Q211" s="2" t="n">
        <v>50.03</v>
      </c>
      <c r="R211" s="2" t="n">
        <v>12710</v>
      </c>
      <c r="S211" s="2" t="n">
        <v>14480</v>
      </c>
      <c r="T211" s="2" t="n">
        <v>23625</v>
      </c>
      <c r="U211" s="2" t="n">
        <v>27870</v>
      </c>
      <c r="V211" s="2" t="n">
        <v>21465</v>
      </c>
      <c r="W211" s="2" t="n">
        <v>23215</v>
      </c>
      <c r="X211" s="2" t="n">
        <v>13465</v>
      </c>
      <c r="Y211" s="2" t="n">
        <v>4000</v>
      </c>
      <c r="AA211" s="2" t="n">
        <v>249.33</v>
      </c>
      <c r="AB211" s="2" t="n">
        <v>27.34</v>
      </c>
      <c r="AC211" s="2" t="n">
        <v>78.72</v>
      </c>
      <c r="AD211" s="2" t="n">
        <v>352.33</v>
      </c>
      <c r="AE211" s="2" t="n">
        <v>216.95</v>
      </c>
      <c r="AF211" s="2" t="n">
        <v>120566.1</v>
      </c>
      <c r="AG211" s="2" t="n">
        <v>4484.19</v>
      </c>
    </row>
    <row r="212" ht="16" customHeight="1">
      <c r="A212" s="2" t="inlineStr">
        <is>
          <t>10/01/2025</t>
        </is>
      </c>
      <c r="B212" s="2" t="n">
        <v>110650</v>
      </c>
      <c r="C212" s="2" t="n">
        <v>1073880</v>
      </c>
      <c r="D212" s="2" t="n">
        <v>1054790</v>
      </c>
      <c r="E212" s="2" t="n">
        <v>100.37</v>
      </c>
      <c r="F212" s="2" t="n">
        <v>94.20999999999999</v>
      </c>
      <c r="G212" s="2" t="n">
        <v>97.98</v>
      </c>
      <c r="H212" s="2" t="n">
        <v>81.65000000000001</v>
      </c>
      <c r="I212" s="2" t="n">
        <v>114.49</v>
      </c>
      <c r="J212" s="2" t="n">
        <v>1421</v>
      </c>
      <c r="K212" s="2" t="n">
        <v>1402.8</v>
      </c>
      <c r="L212" s="2" t="n">
        <v>26990</v>
      </c>
      <c r="M212" s="2" t="n">
        <v>10320</v>
      </c>
      <c r="N212" s="2" t="n">
        <v>9840</v>
      </c>
      <c r="O212" s="2" t="n"/>
      <c r="P212" s="2" t="n">
        <v>56.79</v>
      </c>
      <c r="Q212" s="2" t="n">
        <v>50.03</v>
      </c>
      <c r="R212" s="2" t="n">
        <v>12685</v>
      </c>
      <c r="S212" s="2" t="n">
        <v>14400</v>
      </c>
      <c r="T212" s="2" t="n">
        <v>23430</v>
      </c>
      <c r="U212" s="2" t="n">
        <v>27090</v>
      </c>
      <c r="V212" s="2" t="n">
        <v>21295</v>
      </c>
      <c r="W212" s="2" t="n">
        <v>22955</v>
      </c>
      <c r="X212" s="2" t="n">
        <v>13445</v>
      </c>
      <c r="Y212" s="2" t="n">
        <v>4005</v>
      </c>
      <c r="AA212" s="2" t="n">
        <v>248.33</v>
      </c>
      <c r="AB212" s="2" t="n">
        <v>27.53</v>
      </c>
      <c r="AC212" s="2" t="n">
        <v>78.63</v>
      </c>
      <c r="AD212" s="2" t="n">
        <v>338.41</v>
      </c>
      <c r="AE212" s="2" t="n">
        <v>216.91</v>
      </c>
      <c r="AF212" s="2" t="n">
        <v>118576.2</v>
      </c>
      <c r="AG212" s="2" t="n">
        <v>4343.8</v>
      </c>
    </row>
    <row r="213" ht="16" customHeight="1">
      <c r="A213" s="2" t="inlineStr">
        <is>
          <t>09/30/2025</t>
        </is>
      </c>
      <c r="B213" s="2" t="n">
        <v>110635</v>
      </c>
      <c r="C213" s="2" t="n">
        <v>1073310</v>
      </c>
      <c r="D213" s="2" t="n">
        <v>1054200</v>
      </c>
      <c r="E213" s="2" t="n">
        <v>100.7</v>
      </c>
      <c r="F213" s="2" t="n">
        <v>91.7</v>
      </c>
      <c r="G213" s="2" t="n">
        <v>97.06</v>
      </c>
      <c r="H213" s="2" t="n">
        <v>78.70999999999999</v>
      </c>
      <c r="I213" s="2" t="n">
        <v>112</v>
      </c>
      <c r="J213" s="2" t="n">
        <v>1427</v>
      </c>
      <c r="K213" s="2" t="n">
        <v>1404.14</v>
      </c>
      <c r="L213" s="2" t="n">
        <v>27400</v>
      </c>
      <c r="M213" s="2" t="n">
        <v>10340</v>
      </c>
      <c r="N213" s="2" t="n">
        <v>9880</v>
      </c>
      <c r="O213" s="2" t="n"/>
      <c r="P213" s="2" t="n">
        <v>56.86</v>
      </c>
      <c r="Q213" s="2" t="n">
        <v>50.63</v>
      </c>
      <c r="R213" s="2" t="n">
        <v>12635</v>
      </c>
      <c r="S213" s="2" t="n">
        <v>14335</v>
      </c>
      <c r="T213" s="2" t="n">
        <v>23470</v>
      </c>
      <c r="U213" s="2" t="n">
        <v>26805</v>
      </c>
      <c r="V213" s="2" t="n">
        <v>21325</v>
      </c>
      <c r="W213" s="2" t="n">
        <v>23035</v>
      </c>
      <c r="X213" s="2" t="n">
        <v>13460</v>
      </c>
      <c r="Y213" s="2" t="n">
        <v>4055</v>
      </c>
      <c r="AA213" s="2" t="n">
        <v>247.12</v>
      </c>
      <c r="AB213" s="2" t="n">
        <v>27.3</v>
      </c>
      <c r="AC213" s="2" t="n">
        <v>78.34</v>
      </c>
      <c r="AD213" s="2" t="n">
        <v>322.21</v>
      </c>
      <c r="AE213" s="2" t="n">
        <v>215.79</v>
      </c>
      <c r="AF213" s="2" t="n">
        <v>114048.5</v>
      </c>
      <c r="AG213" s="2" t="n">
        <v>4144.6</v>
      </c>
    </row>
    <row r="214" ht="16" customHeight="1">
      <c r="A214" s="2" t="inlineStr">
        <is>
          <t>09/29/2025</t>
        </is>
      </c>
      <c r="B214" s="2" t="n">
        <v>110635</v>
      </c>
      <c r="C214" s="2" t="n">
        <v>1073235</v>
      </c>
      <c r="D214" s="2" t="n">
        <v>1054125</v>
      </c>
      <c r="E214" s="2" t="n">
        <v>100.7</v>
      </c>
      <c r="F214" s="2" t="n">
        <v>90.8</v>
      </c>
      <c r="G214" s="2" t="n">
        <v>97.05</v>
      </c>
      <c r="H214" s="2" t="n">
        <v>79.3</v>
      </c>
      <c r="I214" s="2" t="n">
        <v>111.49</v>
      </c>
      <c r="J214" s="2" t="n">
        <v>1427</v>
      </c>
      <c r="K214" s="2" t="n">
        <v>1400.04</v>
      </c>
      <c r="L214" s="2" t="n">
        <v>26150</v>
      </c>
      <c r="M214" s="2" t="n">
        <v>10290</v>
      </c>
      <c r="N214" s="2" t="n">
        <v>9810</v>
      </c>
      <c r="O214" s="2" t="n"/>
      <c r="P214" s="2" t="n">
        <v>56.98</v>
      </c>
      <c r="Q214" s="2" t="n">
        <v>50.62</v>
      </c>
      <c r="R214" s="2" t="n">
        <v>12605</v>
      </c>
      <c r="S214" s="2" t="n">
        <v>14420</v>
      </c>
      <c r="T214" s="2" t="n">
        <v>23440</v>
      </c>
      <c r="U214" s="2" t="n">
        <v>26880</v>
      </c>
      <c r="V214" s="2" t="n">
        <v>21290</v>
      </c>
      <c r="W214" s="2" t="n">
        <v>22955</v>
      </c>
      <c r="X214" s="2" t="n">
        <v>13405</v>
      </c>
      <c r="Y214" s="2" t="n">
        <v>4100</v>
      </c>
      <c r="AA214" s="2" t="n">
        <v>246.48</v>
      </c>
      <c r="AB214" s="2" t="n">
        <v>27.1</v>
      </c>
      <c r="AC214" s="2" t="n">
        <v>78.06999999999999</v>
      </c>
      <c r="AD214" s="2" t="n">
        <v>326.42</v>
      </c>
      <c r="AE214" s="2" t="n">
        <v>214.59</v>
      </c>
      <c r="AF214" s="2" t="n">
        <v>114357.5</v>
      </c>
      <c r="AG214" s="2" t="n">
        <v>4215.36</v>
      </c>
    </row>
    <row r="215" ht="16" customHeight="1">
      <c r="A215" s="2" t="inlineStr">
        <is>
          <t>09/28/2025</t>
        </is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>
        <v>1432</v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AA215" s="2" t="n"/>
      <c r="AB215" s="2" t="n"/>
      <c r="AC215" s="2" t="n"/>
      <c r="AD215" s="2" t="n"/>
      <c r="AE215" s="2" t="n"/>
      <c r="AF215" s="2" t="n">
        <v>112174.6</v>
      </c>
      <c r="AG215" s="2" t="n">
        <v>4143.72</v>
      </c>
    </row>
    <row r="216" ht="16" customHeight="1">
      <c r="A216" s="2" t="inlineStr">
        <is>
          <t>09/27/2025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>
        <v>1440</v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AA216" s="2" t="n"/>
      <c r="AB216" s="2" t="n"/>
      <c r="AC216" s="2" t="n"/>
      <c r="AD216" s="2" t="n"/>
      <c r="AE216" s="2" t="n"/>
      <c r="AF216" s="2" t="n">
        <v>109652.8</v>
      </c>
      <c r="AG216" s="2" t="n">
        <v>4017.89</v>
      </c>
    </row>
    <row r="217" ht="16" customHeight="1">
      <c r="A217" s="2" t="inlineStr">
        <is>
          <t>09/26/2025</t>
        </is>
      </c>
      <c r="B217" s="2" t="n">
        <v>110865</v>
      </c>
      <c r="C217" s="2" t="n">
        <v>1075515</v>
      </c>
      <c r="D217" s="2" t="n">
        <v>1054090</v>
      </c>
      <c r="E217" s="2" t="n">
        <v>100.69</v>
      </c>
      <c r="F217" s="2" t="n">
        <v>88.03</v>
      </c>
      <c r="G217" s="2" t="n">
        <v>97</v>
      </c>
      <c r="H217" s="2" t="n">
        <v>78.5</v>
      </c>
      <c r="I217" s="2" t="n">
        <v>109.9</v>
      </c>
      <c r="J217" s="2" t="n">
        <v>1442</v>
      </c>
      <c r="K217" s="2" t="n">
        <v>1409.7</v>
      </c>
      <c r="L217" s="2" t="n">
        <v>25225</v>
      </c>
      <c r="M217" s="2" t="n">
        <v>10405</v>
      </c>
      <c r="N217" s="2" t="n">
        <v>9855</v>
      </c>
      <c r="O217" s="2" t="n"/>
      <c r="P217" s="2" t="n">
        <v>56.56</v>
      </c>
      <c r="Q217" s="2" t="n">
        <v>50.63</v>
      </c>
      <c r="R217" s="2" t="n">
        <v>12520</v>
      </c>
      <c r="S217" s="2" t="n">
        <v>14235</v>
      </c>
      <c r="T217" s="2" t="n">
        <v>23490</v>
      </c>
      <c r="U217" s="2" t="n">
        <v>26470</v>
      </c>
      <c r="V217" s="2" t="n">
        <v>21330</v>
      </c>
      <c r="W217" s="2" t="n">
        <v>23005</v>
      </c>
      <c r="X217" s="2" t="n">
        <v>13490</v>
      </c>
      <c r="Y217" s="2" t="n">
        <v>4035</v>
      </c>
      <c r="AA217" s="2" t="n">
        <v>245.37</v>
      </c>
      <c r="AB217" s="2" t="n">
        <v>27.21</v>
      </c>
      <c r="AC217" s="2" t="n">
        <v>77.84999999999999</v>
      </c>
      <c r="AD217" s="2" t="n">
        <v>309.06</v>
      </c>
      <c r="AE217" s="2" t="n">
        <v>215.4</v>
      </c>
      <c r="AF217" s="2" t="n">
        <v>109662.2</v>
      </c>
      <c r="AG217" s="2" t="n">
        <v>4032.3</v>
      </c>
    </row>
    <row r="218" ht="16" customHeight="1">
      <c r="A218" s="2" t="inlineStr">
        <is>
          <t>09/25/2025</t>
        </is>
      </c>
      <c r="B218" s="2" t="n">
        <v>110840</v>
      </c>
      <c r="C218" s="2" t="n">
        <v>1075445</v>
      </c>
      <c r="D218" s="2" t="n">
        <v>1053975</v>
      </c>
      <c r="E218" s="2" t="n">
        <v>100.66</v>
      </c>
      <c r="F218" s="2" t="n">
        <v>90.16</v>
      </c>
      <c r="G218" s="2" t="n">
        <v>96.92</v>
      </c>
      <c r="H218" s="2" t="n">
        <v>78.5</v>
      </c>
      <c r="I218" s="2" t="n">
        <v>110.03</v>
      </c>
      <c r="J218" s="2" t="n">
        <v>1452</v>
      </c>
      <c r="K218" s="2" t="n">
        <v>1409.14</v>
      </c>
      <c r="L218" s="2" t="n">
        <v>24950</v>
      </c>
      <c r="M218" s="2" t="n">
        <v>10355</v>
      </c>
      <c r="N218" s="2" t="n">
        <v>9805</v>
      </c>
      <c r="O218" s="2" t="n"/>
      <c r="P218" s="2" t="n">
        <v>56.63</v>
      </c>
      <c r="Q218" s="2" t="n">
        <v>50.6</v>
      </c>
      <c r="R218" s="2" t="n">
        <v>12565</v>
      </c>
      <c r="S218" s="2" t="n">
        <v>14485</v>
      </c>
      <c r="T218" s="2" t="n">
        <v>23380</v>
      </c>
      <c r="U218" s="2" t="n">
        <v>27135</v>
      </c>
      <c r="V218" s="2" t="n">
        <v>21225</v>
      </c>
      <c r="W218" s="2" t="n">
        <v>22880</v>
      </c>
      <c r="X218" s="2" t="n">
        <v>13400</v>
      </c>
      <c r="Y218" s="2" t="n">
        <v>4195</v>
      </c>
      <c r="AA218" s="2" t="n">
        <v>244.33</v>
      </c>
      <c r="AB218" s="2" t="n">
        <v>26.99</v>
      </c>
      <c r="AC218" s="2" t="n">
        <v>77.64</v>
      </c>
      <c r="AD218" s="2" t="n">
        <v>300.7</v>
      </c>
      <c r="AE218" s="2" t="n">
        <v>214.39</v>
      </c>
      <c r="AF218" s="2" t="n">
        <v>109016.3</v>
      </c>
      <c r="AG218" s="2" t="n">
        <v>3872.53</v>
      </c>
    </row>
    <row r="219" ht="16" customHeight="1">
      <c r="A219" s="2" t="inlineStr">
        <is>
          <t>09/24/2025</t>
        </is>
      </c>
      <c r="B219" s="2" t="n">
        <v>110830</v>
      </c>
      <c r="C219" s="2" t="n">
        <v>1075230</v>
      </c>
      <c r="D219" s="2" t="n">
        <v>1053775</v>
      </c>
      <c r="E219" s="2" t="n">
        <v>100.65</v>
      </c>
      <c r="F219" s="2" t="n">
        <v>93</v>
      </c>
      <c r="G219" s="2" t="n">
        <v>97.5</v>
      </c>
      <c r="H219" s="2" t="n">
        <v>79.3</v>
      </c>
      <c r="I219" s="2" t="n">
        <v>110.75</v>
      </c>
      <c r="J219" s="2" t="n">
        <v>1418</v>
      </c>
      <c r="K219" s="2" t="n">
        <v>1404.97</v>
      </c>
      <c r="L219" s="2" t="n">
        <v>25005</v>
      </c>
      <c r="M219" s="2" t="n">
        <v>10340</v>
      </c>
      <c r="N219" s="2" t="n">
        <v>9820</v>
      </c>
      <c r="O219" s="2" t="n"/>
      <c r="P219" s="2" t="n">
        <v>56.67</v>
      </c>
      <c r="Q219" s="2" t="n">
        <v>50.67</v>
      </c>
      <c r="R219" s="2" t="n">
        <v>12700</v>
      </c>
      <c r="S219" s="2" t="n">
        <v>14660</v>
      </c>
      <c r="T219" s="2" t="n">
        <v>23400</v>
      </c>
      <c r="U219" s="2" t="n">
        <v>27110</v>
      </c>
      <c r="V219" s="2" t="n">
        <v>21265</v>
      </c>
      <c r="W219" s="2" t="n">
        <v>22940</v>
      </c>
      <c r="X219" s="2" t="n">
        <v>13395</v>
      </c>
      <c r="Y219" s="2" t="n">
        <v>4245</v>
      </c>
      <c r="AA219" s="2" t="n">
        <v>245.39</v>
      </c>
      <c r="AB219" s="2" t="n">
        <v>27.16</v>
      </c>
      <c r="AC219" s="2" t="n">
        <v>78</v>
      </c>
      <c r="AD219" s="2" t="n">
        <v>323.31</v>
      </c>
      <c r="AE219" s="2" t="n">
        <v>215.72</v>
      </c>
      <c r="AF219" s="2" t="n">
        <v>113307.1</v>
      </c>
      <c r="AG219" s="2" t="n">
        <v>4153.21</v>
      </c>
    </row>
    <row r="220" ht="16" customHeight="1">
      <c r="A220" s="2" t="inlineStr">
        <is>
          <t>09/23/2025</t>
        </is>
      </c>
      <c r="B220" s="2" t="n">
        <v>110820</v>
      </c>
      <c r="C220" s="2" t="n">
        <v>1075155</v>
      </c>
      <c r="D220" s="2" t="n">
        <v>1053690</v>
      </c>
      <c r="E220" s="2" t="n">
        <v>100.64</v>
      </c>
      <c r="F220" s="2" t="n">
        <v>94.25</v>
      </c>
      <c r="G220" s="2" t="n">
        <v>97.40000000000001</v>
      </c>
      <c r="H220" s="2" t="n">
        <v>79.29000000000001</v>
      </c>
      <c r="I220" s="2" t="n">
        <v>110.85</v>
      </c>
      <c r="J220" s="2" t="n">
        <v>1426</v>
      </c>
      <c r="K220" s="2" t="n">
        <v>1394.37</v>
      </c>
      <c r="L220" s="2" t="n">
        <v>24605</v>
      </c>
      <c r="M220" s="2" t="n">
        <v>10280</v>
      </c>
      <c r="N220" s="2" t="n">
        <v>9735</v>
      </c>
      <c r="O220" s="2" t="n"/>
      <c r="P220" s="2" t="n">
        <v>56.87</v>
      </c>
      <c r="Q220" s="2" t="n">
        <v>50.69</v>
      </c>
      <c r="R220" s="2" t="n">
        <v>12575</v>
      </c>
      <c r="S220" s="2" t="n">
        <v>14915</v>
      </c>
      <c r="T220" s="2" t="n">
        <v>23435</v>
      </c>
      <c r="U220" s="2" t="n">
        <v>27200</v>
      </c>
      <c r="V220" s="2" t="n">
        <v>21270</v>
      </c>
      <c r="W220" s="2" t="n">
        <v>23000</v>
      </c>
      <c r="X220" s="2" t="n">
        <v>13380</v>
      </c>
      <c r="Y220" s="2" t="n">
        <v>4270</v>
      </c>
      <c r="AA220" s="2" t="n">
        <v>246.25</v>
      </c>
      <c r="AB220" s="2" t="n">
        <v>27.4</v>
      </c>
      <c r="AC220" s="2" t="n">
        <v>78.27</v>
      </c>
      <c r="AD220" s="2" t="n">
        <v>327.78</v>
      </c>
      <c r="AE220" s="2" t="n">
        <v>216.12</v>
      </c>
      <c r="AF220" s="2" t="n">
        <v>112002.6</v>
      </c>
      <c r="AG220" s="2" t="n">
        <v>4164.63</v>
      </c>
    </row>
    <row r="221" ht="16" customHeight="1">
      <c r="A221" s="2" t="inlineStr">
        <is>
          <t>09/22/2025</t>
        </is>
      </c>
      <c r="B221" s="2" t="n">
        <v>110815</v>
      </c>
      <c r="C221" s="2" t="n">
        <v>1075080</v>
      </c>
      <c r="D221" s="2" t="n">
        <v>1053625</v>
      </c>
      <c r="E221" s="2" t="n">
        <v>100.62</v>
      </c>
      <c r="F221" s="2" t="n">
        <v>93.51000000000001</v>
      </c>
      <c r="G221" s="2" t="n">
        <v>97.55</v>
      </c>
      <c r="H221" s="2" t="n">
        <v>79.55</v>
      </c>
      <c r="I221" s="2" t="n">
        <v>111.01</v>
      </c>
      <c r="J221" s="2" t="n">
        <v>1426</v>
      </c>
      <c r="K221" s="2" t="n">
        <v>1391.05</v>
      </c>
      <c r="L221" s="2" t="n">
        <v>24065</v>
      </c>
      <c r="M221" s="2" t="n">
        <v>10295</v>
      </c>
      <c r="N221" s="2" t="n">
        <v>9745</v>
      </c>
      <c r="O221" s="2" t="n"/>
      <c r="P221" s="2" t="n">
        <v>56.5</v>
      </c>
      <c r="Q221" s="2" t="n">
        <v>50.64</v>
      </c>
      <c r="R221" s="2" t="n">
        <v>12545</v>
      </c>
      <c r="S221" s="2" t="n">
        <v>14995</v>
      </c>
      <c r="T221" s="2" t="n">
        <v>23275</v>
      </c>
      <c r="U221" s="2" t="n">
        <v>26995</v>
      </c>
      <c r="V221" s="2" t="n">
        <v>21125</v>
      </c>
      <c r="W221" s="2" t="n">
        <v>22810</v>
      </c>
      <c r="X221" s="2" t="n">
        <v>13335</v>
      </c>
      <c r="Y221" s="2" t="n">
        <v>4325</v>
      </c>
      <c r="AA221" s="2" t="n">
        <v>247.9</v>
      </c>
      <c r="AB221" s="2" t="n">
        <v>27.25</v>
      </c>
      <c r="AC221" s="2" t="n">
        <v>78.68000000000001</v>
      </c>
      <c r="AD221" s="2" t="n">
        <v>335.93</v>
      </c>
      <c r="AE221" s="2" t="n">
        <v>216.58</v>
      </c>
      <c r="AF221" s="2" t="n">
        <v>112673</v>
      </c>
      <c r="AG221" s="2" t="n">
        <v>4199.05</v>
      </c>
    </row>
    <row r="222" ht="16" customHeight="1">
      <c r="A222" s="2" t="inlineStr">
        <is>
          <t>09/21/2025</t>
        </is>
      </c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>
        <v>1401</v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AA222" s="2" t="n"/>
      <c r="AB222" s="2" t="n"/>
      <c r="AC222" s="2" t="n"/>
      <c r="AD222" s="2" t="n"/>
      <c r="AE222" s="2" t="n"/>
      <c r="AF222" s="2" t="n">
        <v>115243</v>
      </c>
      <c r="AG222" s="2" t="n">
        <v>4444.51</v>
      </c>
    </row>
    <row r="223" ht="16" customHeight="1">
      <c r="A223" s="2" t="inlineStr">
        <is>
          <t>09/20/2025</t>
        </is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>
        <v>1403</v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AA223" s="2" t="n"/>
      <c r="AB223" s="2" t="n"/>
      <c r="AC223" s="2" t="n"/>
      <c r="AD223" s="2" t="n"/>
      <c r="AE223" s="2" t="n"/>
      <c r="AF223" s="2" t="n">
        <v>115699.2</v>
      </c>
      <c r="AG223" s="2" t="n">
        <v>4480.38</v>
      </c>
    </row>
    <row r="224" ht="16" customHeight="1">
      <c r="A224" s="2" t="inlineStr">
        <is>
          <t>09/19/2025</t>
        </is>
      </c>
      <c r="B224" s="2" t="n">
        <v>110805</v>
      </c>
      <c r="C224" s="2" t="n">
        <v>1075005</v>
      </c>
      <c r="D224" s="2" t="n">
        <v>1053560</v>
      </c>
      <c r="E224" s="2" t="n">
        <v>100.62</v>
      </c>
      <c r="F224" s="2" t="n">
        <v>93.88</v>
      </c>
      <c r="G224" s="2" t="n">
        <v>97.7</v>
      </c>
      <c r="H224" s="2" t="n">
        <v>78.90000000000001</v>
      </c>
      <c r="I224" s="2" t="n">
        <v>111.75</v>
      </c>
      <c r="J224" s="2" t="n">
        <v>1402</v>
      </c>
      <c r="K224" s="2" t="n">
        <v>1397.21</v>
      </c>
      <c r="L224" s="2" t="n">
        <v>23620</v>
      </c>
      <c r="M224" s="2" t="n">
        <v>10305</v>
      </c>
      <c r="N224" s="2" t="n">
        <v>9765</v>
      </c>
      <c r="O224" s="2" t="n"/>
      <c r="P224" s="2" t="n">
        <v>56.68</v>
      </c>
      <c r="Q224" s="2" t="n">
        <v>50.69</v>
      </c>
      <c r="R224" s="2" t="n">
        <v>12610</v>
      </c>
      <c r="S224" s="2" t="n">
        <v>14685</v>
      </c>
      <c r="T224" s="2" t="n">
        <v>23225</v>
      </c>
      <c r="U224" s="2" t="n">
        <v>26720</v>
      </c>
      <c r="V224" s="2" t="n">
        <v>21085</v>
      </c>
      <c r="W224" s="2" t="n">
        <v>22715</v>
      </c>
      <c r="X224" s="2" t="n">
        <v>13320</v>
      </c>
      <c r="Y224" s="2" t="n">
        <v>4315</v>
      </c>
      <c r="AA224" s="2" t="n">
        <v>246.79</v>
      </c>
      <c r="AB224" s="2" t="n">
        <v>27.33</v>
      </c>
      <c r="AC224" s="2" t="n">
        <v>78.3</v>
      </c>
      <c r="AD224" s="2" t="n">
        <v>344.75</v>
      </c>
      <c r="AE224" s="2" t="n">
        <v>216.09</v>
      </c>
      <c r="AF224" s="2" t="n">
        <v>115649</v>
      </c>
      <c r="AG224" s="2" t="n">
        <v>4468.66</v>
      </c>
    </row>
    <row r="225" ht="16" customHeight="1">
      <c r="A225" s="2" t="inlineStr">
        <is>
          <t>09/18/2025</t>
        </is>
      </c>
      <c r="B225" s="2" t="n">
        <v>110785</v>
      </c>
      <c r="C225" s="2" t="n">
        <v>1074930</v>
      </c>
      <c r="D225" s="2" t="n">
        <v>1053470</v>
      </c>
      <c r="E225" s="2" t="n">
        <v>100.58</v>
      </c>
      <c r="F225" s="2" t="n">
        <v>93.84</v>
      </c>
      <c r="G225" s="2" t="n">
        <v>97.5</v>
      </c>
      <c r="H225" s="2" t="n">
        <v>78.68000000000001</v>
      </c>
      <c r="I225" s="2" t="n">
        <v>111.85</v>
      </c>
      <c r="J225" s="2" t="n">
        <v>1388</v>
      </c>
      <c r="K225" s="2" t="n">
        <v>1388.22</v>
      </c>
      <c r="L225" s="2" t="n">
        <v>23760</v>
      </c>
      <c r="M225" s="2" t="n">
        <v>10285</v>
      </c>
      <c r="N225" s="2" t="n">
        <v>9870</v>
      </c>
      <c r="O225" s="2" t="n"/>
      <c r="P225" s="2" t="n">
        <v>56.77</v>
      </c>
      <c r="Q225" s="2" t="n">
        <v>50.69</v>
      </c>
      <c r="R225" s="2" t="n">
        <v>12630</v>
      </c>
      <c r="S225" s="2" t="n">
        <v>14580</v>
      </c>
      <c r="T225" s="2" t="n">
        <v>23075</v>
      </c>
      <c r="U225" s="2" t="n">
        <v>26815</v>
      </c>
      <c r="V225" s="2" t="n">
        <v>20980</v>
      </c>
      <c r="W225" s="2" t="n">
        <v>22530</v>
      </c>
      <c r="X225" s="2" t="n">
        <v>13270</v>
      </c>
      <c r="Y225" s="2" t="n">
        <v>4300</v>
      </c>
      <c r="AA225" s="2" t="n">
        <v>245.12</v>
      </c>
      <c r="AB225" s="2" t="n">
        <v>27.45</v>
      </c>
      <c r="AC225" s="2" t="n">
        <v>77.92</v>
      </c>
      <c r="AD225" s="2" t="n">
        <v>349.12</v>
      </c>
      <c r="AE225" s="2" t="n">
        <v>215.64</v>
      </c>
      <c r="AF225" s="2" t="n">
        <v>117086</v>
      </c>
      <c r="AG225" s="2" t="n">
        <v>4587.65</v>
      </c>
    </row>
    <row r="226" ht="16" customHeight="1">
      <c r="A226" s="2" t="inlineStr">
        <is>
          <t>09/17/2025</t>
        </is>
      </c>
      <c r="B226" s="2" t="n">
        <v>110775</v>
      </c>
      <c r="C226" s="2" t="n">
        <v>1074720</v>
      </c>
      <c r="D226" s="2" t="n">
        <v>1053250</v>
      </c>
      <c r="E226" s="2" t="n">
        <v>100.56</v>
      </c>
      <c r="F226" s="2" t="n">
        <v>91.27</v>
      </c>
      <c r="G226" s="2" t="n">
        <v>97.26000000000001</v>
      </c>
      <c r="H226" s="2" t="n">
        <v>78.62</v>
      </c>
      <c r="I226" s="2" t="n">
        <v>111.86</v>
      </c>
      <c r="J226" s="2" t="n">
        <v>1386</v>
      </c>
      <c r="K226" s="2" t="n">
        <v>1380.71</v>
      </c>
      <c r="L226" s="2" t="n">
        <v>24080</v>
      </c>
      <c r="M226" s="2" t="n">
        <v>10275</v>
      </c>
      <c r="N226" s="2" t="n">
        <v>9835</v>
      </c>
      <c r="O226" s="2" t="n"/>
      <c r="P226" s="2" t="n">
        <v>57.28</v>
      </c>
      <c r="Q226" s="2" t="n">
        <v>50.73</v>
      </c>
      <c r="R226" s="2" t="n">
        <v>12640</v>
      </c>
      <c r="S226" s="2" t="n">
        <v>14400</v>
      </c>
      <c r="T226" s="2" t="n">
        <v>22910</v>
      </c>
      <c r="U226" s="2" t="n">
        <v>26360</v>
      </c>
      <c r="V226" s="2" t="n">
        <v>20810</v>
      </c>
      <c r="W226" s="2" t="n">
        <v>22335</v>
      </c>
      <c r="X226" s="2" t="n">
        <v>13190</v>
      </c>
      <c r="Y226" s="2" t="n">
        <v>4265</v>
      </c>
      <c r="AA226" s="2" t="n">
        <v>242.89</v>
      </c>
      <c r="AB226" s="2" t="n">
        <v>27.47</v>
      </c>
      <c r="AC226" s="2" t="n">
        <v>77.56</v>
      </c>
      <c r="AD226" s="2" t="n">
        <v>329.71</v>
      </c>
      <c r="AE226" s="2" t="n">
        <v>215.75</v>
      </c>
      <c r="AF226" s="2" t="n">
        <v>116425.9</v>
      </c>
      <c r="AG226" s="2" t="n">
        <v>4590.56</v>
      </c>
    </row>
    <row r="227" ht="16" customHeight="1">
      <c r="A227" s="2" t="inlineStr">
        <is>
          <t>09/16/2025</t>
        </is>
      </c>
      <c r="B227" s="2" t="n">
        <v>110770</v>
      </c>
      <c r="C227" s="2" t="n">
        <v>1074650</v>
      </c>
      <c r="D227" s="2" t="n">
        <v>1053170</v>
      </c>
      <c r="E227" s="2" t="n">
        <v>100.55</v>
      </c>
      <c r="F227" s="2" t="n">
        <v>92.78</v>
      </c>
      <c r="G227" s="2" t="n">
        <v>96.95</v>
      </c>
      <c r="H227" s="2" t="n">
        <v>78.84</v>
      </c>
      <c r="I227" s="2" t="n">
        <v>111.72</v>
      </c>
      <c r="J227" s="2" t="n">
        <v>1390</v>
      </c>
      <c r="K227" s="2" t="n">
        <v>1378.8</v>
      </c>
      <c r="L227" s="2" t="n">
        <v>23805</v>
      </c>
      <c r="M227" s="2" t="n">
        <v>10245</v>
      </c>
      <c r="N227" s="2" t="n">
        <v>9800</v>
      </c>
      <c r="O227" s="2" t="n"/>
      <c r="P227" s="2" t="n">
        <v>57.41</v>
      </c>
      <c r="Q227" s="2" t="n">
        <v>50.75</v>
      </c>
      <c r="R227" s="2" t="n">
        <v>12750</v>
      </c>
      <c r="S227" s="2" t="n">
        <v>14565</v>
      </c>
      <c r="T227" s="2" t="n">
        <v>22945</v>
      </c>
      <c r="U227" s="2" t="n">
        <v>26680</v>
      </c>
      <c r="V227" s="2" t="n">
        <v>20845</v>
      </c>
      <c r="W227" s="2" t="n">
        <v>22375</v>
      </c>
      <c r="X227" s="2" t="n">
        <v>13190</v>
      </c>
      <c r="Y227" s="2" t="n">
        <v>4250</v>
      </c>
      <c r="AA227" s="2" t="n">
        <v>243.38</v>
      </c>
      <c r="AB227" s="2" t="n">
        <v>27.42</v>
      </c>
      <c r="AC227" s="2" t="n">
        <v>77.66</v>
      </c>
      <c r="AD227" s="2" t="n">
        <v>335.09</v>
      </c>
      <c r="AE227" s="2" t="n">
        <v>215.3</v>
      </c>
      <c r="AF227" s="2" t="n">
        <v>116795.9</v>
      </c>
      <c r="AG227" s="2" t="n">
        <v>4501.21</v>
      </c>
    </row>
    <row r="228" ht="16" customHeight="1">
      <c r="A228" s="2" t="inlineStr">
        <is>
          <t>09/15/2025</t>
        </is>
      </c>
      <c r="B228" s="2" t="n">
        <v>110760</v>
      </c>
      <c r="C228" s="2" t="n">
        <v>1074575</v>
      </c>
      <c r="D228" s="2" t="n">
        <v>1053095</v>
      </c>
      <c r="E228" s="2" t="n">
        <v>100.53</v>
      </c>
      <c r="F228" s="2" t="n">
        <v>92.7</v>
      </c>
      <c r="G228" s="2" t="n">
        <v>96.90000000000001</v>
      </c>
      <c r="H228" s="2" t="n">
        <v>79.25</v>
      </c>
      <c r="I228" s="2" t="n">
        <v>111.55</v>
      </c>
      <c r="J228" s="2" t="n">
        <v>1394</v>
      </c>
      <c r="K228" s="2" t="n">
        <v>1385.13</v>
      </c>
      <c r="L228" s="2" t="n">
        <v>23365</v>
      </c>
      <c r="M228" s="2" t="n">
        <v>10290</v>
      </c>
      <c r="N228" s="2" t="n">
        <v>9805</v>
      </c>
      <c r="O228" s="2" t="n"/>
      <c r="P228" s="2" t="n">
        <v>57.33</v>
      </c>
      <c r="Q228" s="2" t="n">
        <v>50.7</v>
      </c>
      <c r="R228" s="2" t="n">
        <v>12780</v>
      </c>
      <c r="S228" s="2" t="n">
        <v>14565</v>
      </c>
      <c r="T228" s="2" t="n">
        <v>22995</v>
      </c>
      <c r="U228" s="2" t="n">
        <v>26250</v>
      </c>
      <c r="V228" s="2" t="n">
        <v>20890</v>
      </c>
      <c r="W228" s="2" t="n">
        <v>22320</v>
      </c>
      <c r="X228" s="2" t="n">
        <v>13255</v>
      </c>
      <c r="Y228" s="2" t="n">
        <v>4270</v>
      </c>
      <c r="AA228" s="2" t="n">
        <v>243.6</v>
      </c>
      <c r="AB228" s="2" t="n">
        <v>27.34</v>
      </c>
      <c r="AC228" s="2" t="n">
        <v>77.75</v>
      </c>
      <c r="AD228" s="2" t="n">
        <v>327.79</v>
      </c>
      <c r="AE228" s="2" t="n">
        <v>215.62</v>
      </c>
      <c r="AF228" s="2" t="n">
        <v>115362.1</v>
      </c>
      <c r="AG228" s="2" t="n">
        <v>4523.56</v>
      </c>
    </row>
    <row r="229" ht="16" customHeight="1">
      <c r="A229" s="2" t="inlineStr">
        <is>
          <t>09/14/2025</t>
        </is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>
        <v>1390</v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AA229" s="2" t="n"/>
      <c r="AB229" s="2" t="n"/>
      <c r="AC229" s="2" t="n"/>
      <c r="AD229" s="2" t="n"/>
      <c r="AE229" s="2" t="n"/>
      <c r="AF229" s="2" t="n">
        <v>115314.6</v>
      </c>
      <c r="AG229" s="2" t="n">
        <v>4604.95</v>
      </c>
    </row>
    <row r="230" ht="16" customHeight="1">
      <c r="A230" s="2" t="inlineStr">
        <is>
          <t>09/13/2025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>
        <v>1386</v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AA230" s="2" t="n"/>
      <c r="AB230" s="2" t="n"/>
      <c r="AC230" s="2" t="n"/>
      <c r="AD230" s="2" t="n"/>
      <c r="AE230" s="2" t="n"/>
      <c r="AF230" s="2" t="n">
        <v>115924.9</v>
      </c>
      <c r="AG230" s="2" t="n">
        <v>4667.07</v>
      </c>
    </row>
    <row r="231" ht="16" customHeight="1">
      <c r="A231" s="2" t="inlineStr">
        <is>
          <t>09/12/2025</t>
        </is>
      </c>
      <c r="B231" s="2" t="n">
        <v>110755</v>
      </c>
      <c r="C231" s="2" t="n">
        <v>1074500</v>
      </c>
      <c r="D231" s="2" t="n">
        <v>1053050</v>
      </c>
      <c r="E231" s="2" t="n">
        <v>100.53</v>
      </c>
      <c r="F231" s="2" t="n">
        <v>95.65000000000001</v>
      </c>
      <c r="G231" s="2" t="n">
        <v>97.25</v>
      </c>
      <c r="H231" s="2" t="n">
        <v>82.19</v>
      </c>
      <c r="I231" s="2" t="n">
        <v>113.43</v>
      </c>
      <c r="J231" s="2" t="n">
        <v>1389</v>
      </c>
      <c r="K231" s="2" t="n">
        <v>1393.03</v>
      </c>
      <c r="L231" s="2" t="n">
        <v>23430</v>
      </c>
      <c r="M231" s="2" t="n">
        <v>10320</v>
      </c>
      <c r="N231" s="2" t="n">
        <v>9835</v>
      </c>
      <c r="O231" s="2" t="n"/>
      <c r="P231" s="2" t="n">
        <v>57.18</v>
      </c>
      <c r="Q231" s="2" t="n">
        <v>50.69</v>
      </c>
      <c r="R231" s="2" t="n">
        <v>12785</v>
      </c>
      <c r="S231" s="2" t="n">
        <v>14465</v>
      </c>
      <c r="T231" s="2" t="n">
        <v>22965</v>
      </c>
      <c r="U231" s="2" t="n">
        <v>26120</v>
      </c>
      <c r="V231" s="2" t="n">
        <v>20855</v>
      </c>
      <c r="W231" s="2" t="n">
        <v>22215</v>
      </c>
      <c r="X231" s="2" t="n">
        <v>13250</v>
      </c>
      <c r="Y231" s="2" t="n">
        <v>4250</v>
      </c>
      <c r="AA231" s="2" t="n">
        <v>241.5</v>
      </c>
      <c r="AB231" s="2" t="n">
        <v>27.48</v>
      </c>
      <c r="AC231" s="2" t="n">
        <v>77.34999999999999</v>
      </c>
      <c r="AD231" s="2" t="n">
        <v>331.44</v>
      </c>
      <c r="AE231" s="2" t="n">
        <v>215.62</v>
      </c>
      <c r="AF231" s="2" t="n">
        <v>116042.8</v>
      </c>
      <c r="AG231" s="2" t="n">
        <v>4711.99</v>
      </c>
    </row>
    <row r="232" ht="16" customHeight="1">
      <c r="A232" s="2" t="inlineStr">
        <is>
          <t>09/11/2025</t>
        </is>
      </c>
      <c r="B232" s="2" t="n">
        <v>110730</v>
      </c>
      <c r="C232" s="2" t="n">
        <v>1074425</v>
      </c>
      <c r="D232" s="2" t="n">
        <v>1052955</v>
      </c>
      <c r="E232" s="2" t="n">
        <v>100.5</v>
      </c>
      <c r="F232" s="2" t="n">
        <v>94.56999999999999</v>
      </c>
      <c r="G232" s="2" t="n">
        <v>97.37</v>
      </c>
      <c r="H232" s="2" t="n">
        <v>81.7</v>
      </c>
      <c r="I232" s="2" t="n">
        <v>112.65</v>
      </c>
      <c r="J232" s="2" t="n">
        <v>1390</v>
      </c>
      <c r="K232" s="2" t="n">
        <v>1389.66</v>
      </c>
      <c r="L232" s="2" t="n">
        <v>23340</v>
      </c>
      <c r="M232" s="2" t="n">
        <v>10310</v>
      </c>
      <c r="N232" s="2" t="n">
        <v>9795</v>
      </c>
      <c r="O232" s="2" t="n"/>
      <c r="P232" s="2" t="n">
        <v>57.41</v>
      </c>
      <c r="Q232" s="2" t="n">
        <v>50.7</v>
      </c>
      <c r="R232" s="2" t="n">
        <v>12620</v>
      </c>
      <c r="S232" s="2" t="n">
        <v>14170</v>
      </c>
      <c r="T232" s="2" t="n">
        <v>22860</v>
      </c>
      <c r="U232" s="2" t="n">
        <v>25595</v>
      </c>
      <c r="V232" s="2" t="n">
        <v>20765</v>
      </c>
      <c r="W232" s="2" t="n">
        <v>22150</v>
      </c>
      <c r="X232" s="2" t="n">
        <v>13255</v>
      </c>
      <c r="Y232" s="2" t="n">
        <v>4205</v>
      </c>
      <c r="AA232" s="2" t="n">
        <v>240.46</v>
      </c>
      <c r="AB232" s="2" t="n">
        <v>27.72</v>
      </c>
      <c r="AC232" s="2" t="n">
        <v>77.37</v>
      </c>
      <c r="AD232" s="2" t="n">
        <v>326.02</v>
      </c>
      <c r="AE232" s="2" t="n">
        <v>216.52</v>
      </c>
      <c r="AF232" s="2" t="n">
        <v>115490.2</v>
      </c>
      <c r="AG232" s="2" t="n">
        <v>4458.79</v>
      </c>
    </row>
    <row r="233" ht="16" customHeight="1">
      <c r="A233" s="2" t="inlineStr">
        <is>
          <t>09/10/2025</t>
        </is>
      </c>
      <c r="B233" s="2" t="n">
        <v>110720</v>
      </c>
      <c r="C233" s="2" t="n">
        <v>1074210</v>
      </c>
      <c r="D233" s="2" t="n">
        <v>1052730</v>
      </c>
      <c r="E233" s="2" t="n">
        <v>100.48</v>
      </c>
      <c r="F233" s="2" t="n">
        <v>95.55</v>
      </c>
      <c r="G233" s="2" t="n">
        <v>97.40000000000001</v>
      </c>
      <c r="H233" s="2" t="n">
        <v>81.34</v>
      </c>
      <c r="I233" s="2" t="n">
        <v>112.3</v>
      </c>
      <c r="J233" s="2" t="n">
        <v>1393</v>
      </c>
      <c r="K233" s="2" t="n">
        <v>1389.34</v>
      </c>
      <c r="L233" s="2" t="n">
        <v>23235</v>
      </c>
      <c r="M233" s="2" t="n">
        <v>10260</v>
      </c>
      <c r="N233" s="2" t="n">
        <v>9715</v>
      </c>
      <c r="O233" s="2" t="n"/>
      <c r="P233" s="2" t="n">
        <v>57.11</v>
      </c>
      <c r="Q233" s="2" t="n">
        <v>50.7</v>
      </c>
      <c r="R233" s="2" t="n">
        <v>12620</v>
      </c>
      <c r="S233" s="2" t="n">
        <v>14180</v>
      </c>
      <c r="T233" s="2" t="n">
        <v>22735</v>
      </c>
      <c r="U233" s="2" t="n">
        <v>25415</v>
      </c>
      <c r="V233" s="2" t="n">
        <v>20645</v>
      </c>
      <c r="W233" s="2" t="n">
        <v>22085</v>
      </c>
      <c r="X233" s="2" t="n">
        <v>13190</v>
      </c>
      <c r="Y233" s="2" t="n">
        <v>4190</v>
      </c>
      <c r="AA233" s="2" t="n">
        <v>239.06</v>
      </c>
      <c r="AB233" s="2" t="n">
        <v>27.5</v>
      </c>
      <c r="AC233" s="2" t="n">
        <v>76.75</v>
      </c>
      <c r="AD233" s="2" t="n">
        <v>326.45</v>
      </c>
      <c r="AE233" s="2" t="n">
        <v>214.63</v>
      </c>
      <c r="AF233" s="2" t="n">
        <v>113963.5</v>
      </c>
      <c r="AG233" s="2" t="n">
        <v>4348.7</v>
      </c>
    </row>
    <row r="234" ht="16" customHeight="1">
      <c r="A234" s="2" t="inlineStr">
        <is>
          <t>09/09/2025</t>
        </is>
      </c>
      <c r="B234" s="2" t="n">
        <v>110715</v>
      </c>
      <c r="C234" s="2" t="n">
        <v>1074135</v>
      </c>
      <c r="D234" s="2" t="n">
        <v>1052675</v>
      </c>
      <c r="E234" s="2" t="n">
        <v>100.47</v>
      </c>
      <c r="F234" s="2" t="n">
        <v>95.2</v>
      </c>
      <c r="G234" s="2" t="n">
        <v>97.33</v>
      </c>
      <c r="H234" s="2" t="n">
        <v>80.25</v>
      </c>
      <c r="I234" s="2" t="n">
        <v>111.69</v>
      </c>
      <c r="J234" s="2" t="n">
        <v>1393</v>
      </c>
      <c r="K234" s="2" t="n">
        <v>1389.25</v>
      </c>
      <c r="L234" s="2" t="n">
        <v>23395</v>
      </c>
      <c r="M234" s="2" t="n">
        <v>10240</v>
      </c>
      <c r="N234" s="2" t="n">
        <v>9765</v>
      </c>
      <c r="O234" s="2" t="n"/>
      <c r="P234" s="2" t="n">
        <v>56.82</v>
      </c>
      <c r="Q234" s="2" t="n">
        <v>50.72</v>
      </c>
      <c r="R234" s="2" t="n">
        <v>12670</v>
      </c>
      <c r="S234" s="2" t="n">
        <v>14055</v>
      </c>
      <c r="T234" s="2" t="n">
        <v>22675</v>
      </c>
      <c r="U234" s="2" t="n">
        <v>24890</v>
      </c>
      <c r="V234" s="2" t="n">
        <v>20605</v>
      </c>
      <c r="W234" s="2" t="n">
        <v>22030</v>
      </c>
      <c r="X234" s="2" t="n">
        <v>13190</v>
      </c>
      <c r="Y234" s="2" t="n">
        <v>4120</v>
      </c>
      <c r="AA234" s="2" t="n">
        <v>238.99</v>
      </c>
      <c r="AB234" s="2" t="n">
        <v>27.45</v>
      </c>
      <c r="AC234" s="2" t="n">
        <v>76.52</v>
      </c>
      <c r="AD234" s="2" t="n">
        <v>328.53</v>
      </c>
      <c r="AE234" s="2" t="n">
        <v>212.64</v>
      </c>
      <c r="AF234" s="2" t="n">
        <v>111516.5</v>
      </c>
      <c r="AG234" s="2" t="n">
        <v>4309.63</v>
      </c>
    </row>
    <row r="235" ht="16" customHeight="1">
      <c r="A235" s="2" t="inlineStr">
        <is>
          <t>09/08/2025</t>
        </is>
      </c>
      <c r="B235" s="2" t="n">
        <v>110705</v>
      </c>
      <c r="C235" s="2" t="n">
        <v>1074060</v>
      </c>
      <c r="D235" s="2" t="n">
        <v>1052610</v>
      </c>
      <c r="E235" s="2" t="n">
        <v>100.47</v>
      </c>
      <c r="F235" s="2" t="n">
        <v>93.5</v>
      </c>
      <c r="G235" s="2" t="n">
        <v>97.56</v>
      </c>
      <c r="H235" s="2" t="n">
        <v>79.7</v>
      </c>
      <c r="I235" s="2" t="n">
        <v>111.54</v>
      </c>
      <c r="J235" s="2" t="n">
        <v>1393</v>
      </c>
      <c r="K235" s="2" t="n">
        <v>1385.28</v>
      </c>
      <c r="L235" s="2" t="n">
        <v>22715</v>
      </c>
      <c r="M235" s="2" t="n">
        <v>10260</v>
      </c>
      <c r="N235" s="2" t="n">
        <v>9660</v>
      </c>
      <c r="O235" s="2" t="n"/>
      <c r="P235" s="2" t="n">
        <v>57.08</v>
      </c>
      <c r="Q235" s="2" t="n">
        <v>50.74</v>
      </c>
      <c r="R235" s="2" t="n">
        <v>12690</v>
      </c>
      <c r="S235" s="2" t="n">
        <v>13980</v>
      </c>
      <c r="T235" s="2" t="n">
        <v>22670</v>
      </c>
      <c r="U235" s="2" t="n">
        <v>24570</v>
      </c>
      <c r="V235" s="2" t="n">
        <v>20595</v>
      </c>
      <c r="W235" s="2" t="n">
        <v>21990</v>
      </c>
      <c r="X235" s="2" t="n">
        <v>13200</v>
      </c>
      <c r="Y235" s="2" t="n">
        <v>4085</v>
      </c>
      <c r="AA235" s="2" t="n">
        <v>238.28</v>
      </c>
      <c r="AB235" s="2" t="n">
        <v>27.44</v>
      </c>
      <c r="AC235" s="2" t="n">
        <v>76.34999999999999</v>
      </c>
      <c r="AD235" s="2" t="n">
        <v>329.9</v>
      </c>
      <c r="AE235" s="2" t="n">
        <v>212.72</v>
      </c>
      <c r="AF235" s="2" t="n">
        <v>112068.4</v>
      </c>
      <c r="AG235" s="2" t="n">
        <v>4306.59</v>
      </c>
    </row>
    <row r="236" ht="16" customHeight="1">
      <c r="A236" s="2" t="inlineStr">
        <is>
          <t>09/07/2025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>
        <v>1395</v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AA236" s="2" t="n"/>
      <c r="AB236" s="2" t="n"/>
      <c r="AC236" s="2" t="n"/>
      <c r="AD236" s="2" t="n"/>
      <c r="AE236" s="2" t="n"/>
      <c r="AF236" s="2" t="n">
        <v>111150.1</v>
      </c>
      <c r="AG236" s="2" t="n">
        <v>4306.25</v>
      </c>
    </row>
    <row r="237" ht="16" customHeight="1">
      <c r="A237" s="2" t="inlineStr">
        <is>
          <t>09/06/2025</t>
        </is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>
        <v>1401</v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AA237" s="2" t="n"/>
      <c r="AB237" s="2" t="n"/>
      <c r="AC237" s="2" t="n"/>
      <c r="AD237" s="2" t="n"/>
      <c r="AE237" s="2" t="n"/>
      <c r="AF237" s="2" t="n">
        <v>110194.4</v>
      </c>
      <c r="AG237" s="2" t="n">
        <v>4272.82</v>
      </c>
    </row>
    <row r="238" ht="16" customHeight="1">
      <c r="A238" s="2" t="inlineStr">
        <is>
          <t>09/05/2025</t>
        </is>
      </c>
      <c r="B238" s="2" t="n">
        <v>110695</v>
      </c>
      <c r="C238" s="2" t="n">
        <v>1073985</v>
      </c>
      <c r="D238" s="2" t="n">
        <v>1052540</v>
      </c>
      <c r="E238" s="2" t="n">
        <v>100.44</v>
      </c>
      <c r="F238" s="2" t="n">
        <v>95.09999999999999</v>
      </c>
      <c r="G238" s="2" t="n">
        <v>97.59999999999999</v>
      </c>
      <c r="H238" s="2" t="n">
        <v>78.5</v>
      </c>
      <c r="I238" s="2" t="n">
        <v>111.35</v>
      </c>
      <c r="J238" s="2" t="n">
        <v>1400</v>
      </c>
      <c r="K238" s="2" t="n">
        <v>1386.42</v>
      </c>
      <c r="L238" s="2" t="n">
        <v>22460</v>
      </c>
      <c r="M238" s="2" t="n">
        <v>10220</v>
      </c>
      <c r="N238" s="2" t="n">
        <v>9540</v>
      </c>
      <c r="O238" s="2" t="n"/>
      <c r="P238" s="2" t="n">
        <v>56.45</v>
      </c>
      <c r="Q238" s="2" t="n">
        <v>50.72</v>
      </c>
      <c r="R238" s="2" t="n">
        <v>12555</v>
      </c>
      <c r="S238" s="2" t="n">
        <v>13850</v>
      </c>
      <c r="T238" s="2" t="n">
        <v>22775</v>
      </c>
      <c r="U238" s="2" t="n">
        <v>24460</v>
      </c>
      <c r="V238" s="2" t="n">
        <v>20685</v>
      </c>
      <c r="W238" s="2" t="n">
        <v>22015</v>
      </c>
      <c r="X238" s="2" t="n">
        <v>13220</v>
      </c>
      <c r="Y238" s="2" t="n">
        <v>4000</v>
      </c>
      <c r="AA238" s="2" t="n">
        <v>237.15</v>
      </c>
      <c r="AB238" s="2" t="n">
        <v>27.64</v>
      </c>
      <c r="AC238" s="2" t="n">
        <v>76.15000000000001</v>
      </c>
      <c r="AD238" s="2" t="n">
        <v>335.87</v>
      </c>
      <c r="AE238" s="2" t="n">
        <v>211.97</v>
      </c>
      <c r="AF238" s="2" t="n">
        <v>110652.2</v>
      </c>
      <c r="AG238" s="2" t="n">
        <v>4306.96</v>
      </c>
    </row>
    <row r="239" ht="16" customHeight="1">
      <c r="A239" s="2" t="inlineStr">
        <is>
          <t>09/04/2025</t>
        </is>
      </c>
      <c r="B239" s="2" t="n">
        <v>110675</v>
      </c>
      <c r="C239" s="2" t="n">
        <v>1073910</v>
      </c>
      <c r="D239" s="2" t="n">
        <v>1052450</v>
      </c>
      <c r="E239" s="2" t="n">
        <v>100.42</v>
      </c>
      <c r="F239" s="2" t="n">
        <v>94.8</v>
      </c>
      <c r="G239" s="2" t="n">
        <v>97.45999999999999</v>
      </c>
      <c r="H239" s="2" t="n">
        <v>78.13</v>
      </c>
      <c r="I239" s="2" t="n">
        <v>111.13</v>
      </c>
      <c r="J239" s="2" t="n">
        <v>1404</v>
      </c>
      <c r="K239" s="2" t="n">
        <v>1393.52</v>
      </c>
      <c r="L239" s="2" t="n">
        <v>22305</v>
      </c>
      <c r="M239" s="2" t="n">
        <v>10180</v>
      </c>
      <c r="N239" s="2" t="n">
        <v>9455</v>
      </c>
      <c r="O239" s="2" t="n"/>
      <c r="P239" s="2" t="n">
        <v>55.69</v>
      </c>
      <c r="Q239" s="2" t="n">
        <v>50.64</v>
      </c>
      <c r="R239" s="2" t="n">
        <v>12450</v>
      </c>
      <c r="S239" s="2" t="n">
        <v>13715</v>
      </c>
      <c r="T239" s="2" t="n">
        <v>22560</v>
      </c>
      <c r="U239" s="2" t="n">
        <v>24360</v>
      </c>
      <c r="V239" s="2" t="n">
        <v>20500</v>
      </c>
      <c r="W239" s="2" t="n">
        <v>21745</v>
      </c>
      <c r="X239" s="2" t="n">
        <v>13195</v>
      </c>
      <c r="Y239" s="2" t="n">
        <v>3990</v>
      </c>
      <c r="AA239" s="2" t="n">
        <v>236.79</v>
      </c>
      <c r="AB239" s="2" t="n">
        <v>27.69</v>
      </c>
      <c r="AC239" s="2" t="n">
        <v>76.37</v>
      </c>
      <c r="AD239" s="2" t="n">
        <v>327.59</v>
      </c>
      <c r="AE239" s="2" t="n">
        <v>211.78</v>
      </c>
      <c r="AF239" s="2" t="n">
        <v>110712.7</v>
      </c>
      <c r="AG239" s="2" t="n">
        <v>4297.66</v>
      </c>
    </row>
    <row r="240" ht="16" customHeight="1">
      <c r="A240" s="2" t="inlineStr">
        <is>
          <t>09/03/2025</t>
        </is>
      </c>
      <c r="B240" s="2" t="n">
        <v>110665</v>
      </c>
      <c r="C240" s="2" t="n">
        <v>1073695</v>
      </c>
      <c r="D240" s="2" t="n">
        <v>1052230</v>
      </c>
      <c r="E240" s="2" t="n">
        <v>100.4</v>
      </c>
      <c r="F240" s="2" t="n">
        <v>94.90000000000001</v>
      </c>
      <c r="G240" s="2" t="n">
        <v>97.67</v>
      </c>
      <c r="H240" s="2" t="n">
        <v>78.7</v>
      </c>
      <c r="I240" s="2" t="n">
        <v>111.72</v>
      </c>
      <c r="J240" s="2" t="n">
        <v>1387</v>
      </c>
      <c r="K240" s="2" t="n">
        <v>1390.42</v>
      </c>
      <c r="L240" s="2" t="n">
        <v>22355</v>
      </c>
      <c r="M240" s="2" t="n">
        <v>10115</v>
      </c>
      <c r="N240" s="2" t="n">
        <v>9335</v>
      </c>
      <c r="O240" s="2" t="n"/>
      <c r="P240" s="2" t="n">
        <v>55.33</v>
      </c>
      <c r="Q240" s="2" t="n">
        <v>50.63</v>
      </c>
      <c r="R240" s="2" t="n">
        <v>12420</v>
      </c>
      <c r="S240" s="2" t="n">
        <v>13600</v>
      </c>
      <c r="T240" s="2" t="n">
        <v>22465</v>
      </c>
      <c r="U240" s="2" t="n">
        <v>24275</v>
      </c>
      <c r="V240" s="2" t="n">
        <v>20400</v>
      </c>
      <c r="W240" s="2" t="n">
        <v>21620</v>
      </c>
      <c r="X240" s="2" t="n">
        <v>13165</v>
      </c>
      <c r="Y240" s="2" t="n">
        <v>3985</v>
      </c>
      <c r="AA240" s="2" t="n">
        <v>234.63</v>
      </c>
      <c r="AB240" s="2" t="n">
        <v>27.6</v>
      </c>
      <c r="AC240" s="2" t="n">
        <v>75.73</v>
      </c>
      <c r="AD240" s="2" t="n">
        <v>330.26</v>
      </c>
      <c r="AE240" s="2" t="n">
        <v>210.28</v>
      </c>
      <c r="AF240" s="2" t="n">
        <v>111716.5</v>
      </c>
      <c r="AG240" s="2" t="n">
        <v>4450.68</v>
      </c>
    </row>
    <row r="241" ht="16" customHeight="1">
      <c r="A241" s="2" t="inlineStr">
        <is>
          <t>09/02/2025</t>
        </is>
      </c>
      <c r="B241" s="2" t="n">
        <v>110660</v>
      </c>
      <c r="C241" s="2" t="n">
        <v>1073620</v>
      </c>
      <c r="D241" s="2" t="n">
        <v>1052165</v>
      </c>
      <c r="E241" s="2" t="n">
        <v>100.39</v>
      </c>
      <c r="F241" s="2" t="n">
        <v>94.04000000000001</v>
      </c>
      <c r="G241" s="2" t="n">
        <v>97.48</v>
      </c>
      <c r="H241" s="2" t="n">
        <v>78.75</v>
      </c>
      <c r="I241" s="2" t="n">
        <v>111.31</v>
      </c>
      <c r="J241" s="2" t="n">
        <v>1394</v>
      </c>
      <c r="K241" s="2" t="n">
        <v>1395.8</v>
      </c>
      <c r="L241" s="2" t="n">
        <v>22065</v>
      </c>
      <c r="M241" s="2" t="n">
        <v>10155</v>
      </c>
      <c r="N241" s="2" t="n">
        <v>9390</v>
      </c>
      <c r="O241" s="2" t="n"/>
      <c r="P241" s="2" t="n">
        <v>54.81</v>
      </c>
      <c r="Q241" s="2" t="n">
        <v>50.63</v>
      </c>
      <c r="R241" s="2" t="n">
        <v>12615</v>
      </c>
      <c r="S241" s="2" t="n">
        <v>13580</v>
      </c>
      <c r="T241" s="2" t="n">
        <v>22540</v>
      </c>
      <c r="U241" s="2" t="n">
        <v>24155</v>
      </c>
      <c r="V241" s="2" t="n">
        <v>20475</v>
      </c>
      <c r="W241" s="2" t="n">
        <v>21670</v>
      </c>
      <c r="X241" s="2" t="n">
        <v>13165</v>
      </c>
      <c r="Y241" s="2" t="n">
        <v>3980</v>
      </c>
      <c r="AA241" s="2" t="n">
        <v>232.85</v>
      </c>
      <c r="AB241" s="2" t="n">
        <v>27.84</v>
      </c>
      <c r="AC241" s="2" t="n">
        <v>75.34</v>
      </c>
      <c r="AD241" s="2" t="n">
        <v>341.62</v>
      </c>
      <c r="AE241" s="2" t="n">
        <v>210.09</v>
      </c>
      <c r="AF241" s="2" t="n">
        <v>111218.3</v>
      </c>
      <c r="AG241" s="2" t="n">
        <v>4325.19</v>
      </c>
    </row>
    <row r="242" ht="16" customHeight="1">
      <c r="A242" s="2" t="inlineStr">
        <is>
          <t>09/01/2025</t>
        </is>
      </c>
      <c r="B242" s="2" t="n">
        <v>110650</v>
      </c>
      <c r="C242" s="2" t="n">
        <v>1073545</v>
      </c>
      <c r="D242" s="2" t="n">
        <v>1052090</v>
      </c>
      <c r="E242" s="2" t="n"/>
      <c r="F242" s="2" t="n"/>
      <c r="G242" s="2" t="n"/>
      <c r="H242" s="2" t="n"/>
      <c r="I242" s="2" t="n"/>
      <c r="J242" s="2" t="n">
        <v>1396</v>
      </c>
      <c r="K242" s="2" t="n">
        <v>1393.05</v>
      </c>
      <c r="L242" s="2" t="n">
        <v>22045</v>
      </c>
      <c r="M242" s="2" t="n">
        <v>10175</v>
      </c>
      <c r="N242" s="2" t="n">
        <v>9410</v>
      </c>
      <c r="O242" s="2" t="n"/>
      <c r="P242" s="2" t="n"/>
      <c r="Q242" s="2" t="n"/>
      <c r="R242" s="2" t="n">
        <v>12630</v>
      </c>
      <c r="S242" s="2" t="n">
        <v>13450</v>
      </c>
      <c r="T242" s="2" t="n">
        <v>22560</v>
      </c>
      <c r="U242" s="2" t="n">
        <v>23900</v>
      </c>
      <c r="V242" s="2" t="n">
        <v>20480</v>
      </c>
      <c r="W242" s="2" t="n">
        <v>21680</v>
      </c>
      <c r="X242" s="2" t="n">
        <v>13185</v>
      </c>
      <c r="Y242" s="2" t="n">
        <v>3965</v>
      </c>
      <c r="AA242" s="2" t="n"/>
      <c r="AB242" s="2" t="n"/>
      <c r="AC242" s="2" t="n"/>
      <c r="AD242" s="2" t="n"/>
      <c r="AE242" s="2" t="n"/>
      <c r="AF242" s="2" t="n">
        <v>109243.3</v>
      </c>
      <c r="AG242" s="2" t="n">
        <v>4314.22</v>
      </c>
    </row>
    <row r="243" ht="16" customHeight="1">
      <c r="A243" s="2" t="inlineStr">
        <is>
          <t>08/31/2025</t>
        </is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>
        <v>1393</v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AA243" s="2" t="n"/>
      <c r="AB243" s="2" t="n"/>
      <c r="AC243" s="2" t="n"/>
      <c r="AD243" s="2" t="n"/>
      <c r="AE243" s="2" t="n"/>
      <c r="AF243" s="2" t="n">
        <v>108226.8</v>
      </c>
      <c r="AG243" s="2" t="n">
        <v>4391.11</v>
      </c>
    </row>
    <row r="244" ht="16" customHeight="1">
      <c r="A244" s="2" t="inlineStr">
        <is>
          <t>08/30/2025</t>
        </is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>
        <v>1395</v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AA244" s="2" t="n"/>
      <c r="AB244" s="2" t="n"/>
      <c r="AC244" s="2" t="n"/>
      <c r="AD244" s="2" t="n"/>
      <c r="AE244" s="2" t="n"/>
      <c r="AF244" s="2" t="n">
        <v>108818.1</v>
      </c>
      <c r="AG244" s="2" t="n">
        <v>4373.64</v>
      </c>
    </row>
    <row r="245" ht="16" customHeight="1">
      <c r="A245" s="2" t="inlineStr">
        <is>
          <t>08/29/2025</t>
        </is>
      </c>
      <c r="B245" s="2" t="n">
        <v>110640</v>
      </c>
      <c r="C245" s="2" t="n">
        <v>1073470</v>
      </c>
      <c r="D245" s="2" t="n">
        <v>1052015</v>
      </c>
      <c r="E245" s="2" t="n">
        <v>100.74</v>
      </c>
      <c r="F245" s="2" t="n">
        <v>94.3</v>
      </c>
      <c r="G245" s="2" t="n">
        <v>97.75</v>
      </c>
      <c r="H245" s="2" t="n">
        <v>79.26000000000001</v>
      </c>
      <c r="I245" s="2" t="n">
        <v>110.71</v>
      </c>
      <c r="J245" s="2" t="n">
        <v>1405</v>
      </c>
      <c r="K245" s="2" t="n">
        <v>1388.97</v>
      </c>
      <c r="L245" s="2" t="n">
        <v>21495</v>
      </c>
      <c r="M245" s="2" t="n">
        <v>10165</v>
      </c>
      <c r="N245" s="2" t="n">
        <v>9455</v>
      </c>
      <c r="O245" s="2" t="n"/>
      <c r="P245" s="2" t="n">
        <v>55.39</v>
      </c>
      <c r="Q245" s="2" t="n">
        <v>50.68</v>
      </c>
      <c r="R245" s="2" t="n">
        <v>12520</v>
      </c>
      <c r="S245" s="2" t="n">
        <v>13585</v>
      </c>
      <c r="T245" s="2" t="n">
        <v>22670</v>
      </c>
      <c r="U245" s="2" t="n">
        <v>24300</v>
      </c>
      <c r="V245" s="2" t="n">
        <v>20595</v>
      </c>
      <c r="W245" s="2" t="n">
        <v>21930</v>
      </c>
      <c r="X245" s="2" t="n">
        <v>13185</v>
      </c>
      <c r="Y245" s="2" t="n">
        <v>4045</v>
      </c>
      <c r="AA245" s="2" t="n">
        <v>234.81</v>
      </c>
      <c r="AB245" s="2" t="n">
        <v>27.92</v>
      </c>
      <c r="AC245" s="2" t="n">
        <v>75.90000000000001</v>
      </c>
      <c r="AD245" s="2" t="n">
        <v>334.41</v>
      </c>
      <c r="AE245" s="2" t="n">
        <v>210.92</v>
      </c>
      <c r="AF245" s="2" t="n">
        <v>108355.6</v>
      </c>
      <c r="AG245" s="2" t="n">
        <v>4359.2</v>
      </c>
    </row>
    <row r="246" ht="16" customHeight="1">
      <c r="A246" s="2" t="inlineStr">
        <is>
          <t>08/28/2025</t>
        </is>
      </c>
      <c r="B246" s="2" t="n">
        <v>110620</v>
      </c>
      <c r="C246" s="2" t="n">
        <v>1073395</v>
      </c>
      <c r="D246" s="2" t="n">
        <v>1051935</v>
      </c>
      <c r="E246" s="2" t="n">
        <v>100.68</v>
      </c>
      <c r="F246" s="2" t="n">
        <v>95.45</v>
      </c>
      <c r="G246" s="2" t="n">
        <v>97.41</v>
      </c>
      <c r="H246" s="2" t="n">
        <v>80</v>
      </c>
      <c r="I246" s="2" t="n">
        <v>111.5</v>
      </c>
      <c r="J246" s="2" t="n">
        <v>1394</v>
      </c>
      <c r="K246" s="2" t="n">
        <v>1385.55</v>
      </c>
      <c r="L246" s="2" t="n">
        <v>21355</v>
      </c>
      <c r="M246" s="2" t="n">
        <v>10140</v>
      </c>
      <c r="N246" s="2" t="n">
        <v>9425</v>
      </c>
      <c r="O246" s="2" t="n"/>
      <c r="P246" s="2" t="n">
        <v>55.68</v>
      </c>
      <c r="Q246" s="2" t="n">
        <v>50.65</v>
      </c>
      <c r="R246" s="2" t="n">
        <v>12570</v>
      </c>
      <c r="S246" s="2" t="n">
        <v>13660</v>
      </c>
      <c r="T246" s="2" t="n">
        <v>22555</v>
      </c>
      <c r="U246" s="2" t="n">
        <v>24395</v>
      </c>
      <c r="V246" s="2" t="n">
        <v>20500</v>
      </c>
      <c r="W246" s="2" t="n">
        <v>21745</v>
      </c>
      <c r="X246" s="2" t="n">
        <v>13155</v>
      </c>
      <c r="Y246" s="2" t="n">
        <v>4055</v>
      </c>
      <c r="AA246" s="2" t="n">
        <v>237.58</v>
      </c>
      <c r="AB246" s="2" t="n">
        <v>27.82</v>
      </c>
      <c r="AC246" s="2" t="n">
        <v>76.36</v>
      </c>
      <c r="AD246" s="2" t="n">
        <v>338.84</v>
      </c>
      <c r="AE246" s="2" t="n">
        <v>211.58</v>
      </c>
      <c r="AF246" s="2" t="n">
        <v>112568.9</v>
      </c>
      <c r="AG246" s="2" t="n">
        <v>4513.55</v>
      </c>
    </row>
    <row r="247" ht="16" customHeight="1">
      <c r="A247" s="2" t="inlineStr">
        <is>
          <t>08/27/2025</t>
        </is>
      </c>
      <c r="B247" s="2" t="n">
        <v>110845</v>
      </c>
      <c r="C247" s="2" t="n">
        <v>1075465</v>
      </c>
      <c r="D247" s="2" t="n">
        <v>1051715</v>
      </c>
      <c r="E247" s="2" t="n">
        <v>100.67</v>
      </c>
      <c r="F247" s="2" t="n">
        <v>95.45</v>
      </c>
      <c r="G247" s="2" t="n">
        <v>96.52</v>
      </c>
      <c r="H247" s="2" t="n">
        <v>79.98999999999999</v>
      </c>
      <c r="I247" s="2" t="n">
        <v>111.65</v>
      </c>
      <c r="J247" s="2" t="n">
        <v>1399</v>
      </c>
      <c r="K247" s="2" t="n">
        <v>1393.3</v>
      </c>
      <c r="L247" s="2" t="n">
        <v>21375</v>
      </c>
      <c r="M247" s="2" t="n">
        <v>10210</v>
      </c>
      <c r="N247" s="2" t="n">
        <v>9485</v>
      </c>
      <c r="O247" s="2" t="n"/>
      <c r="P247" s="2" t="n">
        <v>55.36</v>
      </c>
      <c r="Q247" s="2" t="n">
        <v>50.66</v>
      </c>
      <c r="R247" s="2" t="n">
        <v>12450</v>
      </c>
      <c r="S247" s="2" t="n">
        <v>13760</v>
      </c>
      <c r="T247" s="2" t="n">
        <v>22670</v>
      </c>
      <c r="U247" s="2" t="n">
        <v>24285</v>
      </c>
      <c r="V247" s="2" t="n">
        <v>20600</v>
      </c>
      <c r="W247" s="2" t="n">
        <v>21905</v>
      </c>
      <c r="X247" s="2" t="n">
        <v>13220</v>
      </c>
      <c r="Y247" s="2" t="n">
        <v>4040</v>
      </c>
      <c r="AA247" s="2" t="n">
        <v>236.1</v>
      </c>
      <c r="AB247" s="2" t="n">
        <v>27.87</v>
      </c>
      <c r="AC247" s="2" t="n">
        <v>76.09</v>
      </c>
      <c r="AD247" s="2" t="n">
        <v>342.06</v>
      </c>
      <c r="AE247" s="2" t="n">
        <v>211.18</v>
      </c>
      <c r="AF247" s="2" t="n">
        <v>111255.6</v>
      </c>
      <c r="AG247" s="2" t="n">
        <v>4506.05</v>
      </c>
    </row>
    <row r="248" ht="16" customHeight="1">
      <c r="A248" s="2" t="inlineStr">
        <is>
          <t>08/26/2025</t>
        </is>
      </c>
      <c r="B248" s="2" t="n">
        <v>110840</v>
      </c>
      <c r="C248" s="2" t="n">
        <v>1075390</v>
      </c>
      <c r="D248" s="2" t="n">
        <v>1051645</v>
      </c>
      <c r="E248" s="2" t="n">
        <v>100.66</v>
      </c>
      <c r="F248" s="2" t="n">
        <v>95.65000000000001</v>
      </c>
      <c r="G248" s="2" t="n">
        <v>95.66</v>
      </c>
      <c r="H248" s="2" t="n">
        <v>79.98</v>
      </c>
      <c r="I248" s="2" t="n">
        <v>111.03</v>
      </c>
      <c r="J248" s="2" t="n">
        <v>1401</v>
      </c>
      <c r="K248" s="2" t="n">
        <v>1395.08</v>
      </c>
      <c r="L248" s="2" t="n">
        <v>21335</v>
      </c>
      <c r="M248" s="2" t="n">
        <v>10185</v>
      </c>
      <c r="N248" s="2" t="n">
        <v>9465</v>
      </c>
      <c r="O248" s="2" t="n"/>
      <c r="P248" s="2" t="n">
        <v>55.4</v>
      </c>
      <c r="Q248" s="2" t="n">
        <v>50.57</v>
      </c>
      <c r="R248" s="2" t="n">
        <v>12445</v>
      </c>
      <c r="S248" s="2" t="n">
        <v>13780</v>
      </c>
      <c r="T248" s="2" t="n">
        <v>22535</v>
      </c>
      <c r="U248" s="2" t="n">
        <v>24230</v>
      </c>
      <c r="V248" s="2" t="n">
        <v>20495</v>
      </c>
      <c r="W248" s="2" t="n">
        <v>21755</v>
      </c>
      <c r="X248" s="2" t="n">
        <v>13195</v>
      </c>
      <c r="Y248" s="2" t="n">
        <v>4080</v>
      </c>
      <c r="AA248" s="2" t="n">
        <v>235.76</v>
      </c>
      <c r="AB248" s="2" t="n">
        <v>27.75</v>
      </c>
      <c r="AC248" s="2" t="n">
        <v>75.91</v>
      </c>
      <c r="AD248" s="2" t="n">
        <v>351.36</v>
      </c>
      <c r="AE248" s="2" t="n">
        <v>210.73</v>
      </c>
      <c r="AF248" s="2" t="n">
        <v>111768.6</v>
      </c>
      <c r="AG248" s="2" t="n">
        <v>4600.77</v>
      </c>
    </row>
    <row r="249" ht="16" customHeight="1">
      <c r="A249" s="2" t="inlineStr">
        <is>
          <t>08/25/2025</t>
        </is>
      </c>
      <c r="B249" s="2" t="n">
        <v>110835</v>
      </c>
      <c r="C249" s="2" t="n">
        <v>1075315</v>
      </c>
      <c r="D249" s="2" t="n">
        <v>1051570</v>
      </c>
      <c r="E249" s="2" t="n">
        <v>100.66</v>
      </c>
      <c r="F249" s="2" t="n">
        <v>94.75</v>
      </c>
      <c r="G249" s="2" t="n">
        <v>95.09999999999999</v>
      </c>
      <c r="H249" s="2" t="n">
        <v>79.25</v>
      </c>
      <c r="I249" s="2" t="n">
        <v>111.25</v>
      </c>
      <c r="J249" s="2" t="n">
        <v>1415</v>
      </c>
      <c r="K249" s="2" t="n">
        <v>1390.57</v>
      </c>
      <c r="L249" s="2" t="n">
        <v>21135</v>
      </c>
      <c r="M249" s="2" t="n">
        <v>10130</v>
      </c>
      <c r="N249" s="2" t="n">
        <v>9450</v>
      </c>
      <c r="O249" s="2" t="n"/>
      <c r="P249" s="2" t="n">
        <v>55.41</v>
      </c>
      <c r="Q249" s="2" t="n">
        <v>50.49</v>
      </c>
      <c r="R249" s="2" t="n">
        <v>12520</v>
      </c>
      <c r="S249" s="2" t="n">
        <v>13700</v>
      </c>
      <c r="T249" s="2" t="n">
        <v>22465</v>
      </c>
      <c r="U249" s="2" t="n">
        <v>24460</v>
      </c>
      <c r="V249" s="2" t="n">
        <v>20405</v>
      </c>
      <c r="W249" s="2" t="n">
        <v>21675</v>
      </c>
      <c r="X249" s="2" t="n">
        <v>13120</v>
      </c>
      <c r="Y249" s="2" t="n">
        <v>4115</v>
      </c>
      <c r="AA249" s="2" t="n">
        <v>234.78</v>
      </c>
      <c r="AB249" s="2" t="n">
        <v>27.77</v>
      </c>
      <c r="AC249" s="2" t="n">
        <v>75.59999999999999</v>
      </c>
      <c r="AD249" s="2" t="n">
        <v>343.2</v>
      </c>
      <c r="AE249" s="2" t="n">
        <v>209.83</v>
      </c>
      <c r="AF249" s="2" t="n">
        <v>110118.4</v>
      </c>
      <c r="AG249" s="2" t="n">
        <v>4374.73</v>
      </c>
    </row>
    <row r="250" ht="16" customHeight="1">
      <c r="A250" s="2" t="inlineStr">
        <is>
          <t>08/24/2025</t>
        </is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>
        <v>1389</v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AA250" s="2" t="n"/>
      <c r="AB250" s="2" t="n"/>
      <c r="AC250" s="2" t="n"/>
      <c r="AD250" s="2" t="n"/>
      <c r="AE250" s="2" t="n"/>
      <c r="AF250" s="2" t="n">
        <v>113483.2</v>
      </c>
      <c r="AG250" s="2" t="n">
        <v>4779.86</v>
      </c>
    </row>
    <row r="251" ht="16" customHeight="1">
      <c r="A251" s="2" t="inlineStr">
        <is>
          <t>08/23/2025</t>
        </is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>
        <v>1383</v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AA251" s="2" t="n"/>
      <c r="AB251" s="2" t="n"/>
      <c r="AC251" s="2" t="n"/>
      <c r="AD251" s="2" t="n"/>
      <c r="AE251" s="2" t="n"/>
      <c r="AF251" s="2" t="n">
        <v>115433.3</v>
      </c>
      <c r="AG251" s="2" t="n">
        <v>4778.43</v>
      </c>
    </row>
    <row r="252" ht="16" customHeight="1">
      <c r="A252" s="2" t="inlineStr">
        <is>
          <t>08/22/2025</t>
        </is>
      </c>
      <c r="B252" s="2" t="n">
        <v>110830</v>
      </c>
      <c r="C252" s="2" t="n">
        <v>1075240</v>
      </c>
      <c r="D252" s="2" t="n">
        <v>1051505</v>
      </c>
      <c r="E252" s="2" t="n">
        <v>100.64</v>
      </c>
      <c r="F252" s="2" t="n">
        <v>96.5</v>
      </c>
      <c r="G252" s="2" t="n">
        <v>95.05</v>
      </c>
      <c r="H252" s="2" t="n">
        <v>79.83</v>
      </c>
      <c r="I252" s="2" t="n">
        <v>111.24</v>
      </c>
      <c r="J252" s="2" t="n">
        <v>1379</v>
      </c>
      <c r="K252" s="2" t="n">
        <v>1384.2</v>
      </c>
      <c r="L252" s="2" t="n">
        <v>21035</v>
      </c>
      <c r="M252" s="2" t="n">
        <v>10140</v>
      </c>
      <c r="N252" s="2" t="n">
        <v>9465</v>
      </c>
      <c r="O252" s="2" t="n"/>
      <c r="P252" s="2" t="n">
        <v>55.53</v>
      </c>
      <c r="Q252" s="2" t="n">
        <v>50.51</v>
      </c>
      <c r="R252" s="2" t="n">
        <v>12330</v>
      </c>
      <c r="S252" s="2" t="n">
        <v>13420</v>
      </c>
      <c r="T252" s="2" t="n">
        <v>22250</v>
      </c>
      <c r="U252" s="2" t="n">
        <v>24160</v>
      </c>
      <c r="V252" s="2" t="n">
        <v>20200</v>
      </c>
      <c r="W252" s="2" t="n">
        <v>21435</v>
      </c>
      <c r="X252" s="2" t="n">
        <v>13105</v>
      </c>
      <c r="Y252" s="2" t="n">
        <v>4120</v>
      </c>
      <c r="AA252" s="2" t="n">
        <v>235.47</v>
      </c>
      <c r="AB252" s="2" t="n">
        <v>27.95</v>
      </c>
      <c r="AC252" s="2" t="n">
        <v>75.91</v>
      </c>
      <c r="AD252" s="2" t="n">
        <v>358.13</v>
      </c>
      <c r="AE252" s="2" t="n">
        <v>211.39</v>
      </c>
      <c r="AF252" s="2" t="n">
        <v>116928.9</v>
      </c>
      <c r="AG252" s="2" t="n">
        <v>4831.21</v>
      </c>
    </row>
    <row r="253" ht="16" customHeight="1">
      <c r="A253" s="2" t="inlineStr">
        <is>
          <t>08/21/2025</t>
        </is>
      </c>
      <c r="B253" s="2" t="n">
        <v>110805</v>
      </c>
      <c r="C253" s="2" t="n">
        <v>1075165</v>
      </c>
      <c r="D253" s="2" t="n">
        <v>1051425</v>
      </c>
      <c r="E253" s="2" t="n">
        <v>100.6</v>
      </c>
      <c r="F253" s="2" t="n">
        <v>95.79000000000001</v>
      </c>
      <c r="G253" s="2" t="n">
        <v>94.44</v>
      </c>
      <c r="H253" s="2" t="n">
        <v>79</v>
      </c>
      <c r="I253" s="2" t="n">
        <v>110.9</v>
      </c>
      <c r="J253" s="2" t="n">
        <v>1403</v>
      </c>
      <c r="K253" s="2" t="n">
        <v>1401.19</v>
      </c>
      <c r="L253" s="2" t="n">
        <v>21125</v>
      </c>
      <c r="M253" s="2" t="n">
        <v>10225</v>
      </c>
      <c r="N253" s="2" t="n">
        <v>9530</v>
      </c>
      <c r="O253" s="2" t="n"/>
      <c r="P253" s="2" t="n">
        <v>55.13</v>
      </c>
      <c r="Q253" s="2" t="n">
        <v>50.31</v>
      </c>
      <c r="R253" s="2" t="n">
        <v>12365</v>
      </c>
      <c r="S253" s="2" t="n">
        <v>13325</v>
      </c>
      <c r="T253" s="2" t="n">
        <v>22450</v>
      </c>
      <c r="U253" s="2" t="n">
        <v>23960</v>
      </c>
      <c r="V253" s="2" t="n">
        <v>20390</v>
      </c>
      <c r="W253" s="2" t="n">
        <v>21685</v>
      </c>
      <c r="X253" s="2" t="n">
        <v>13175</v>
      </c>
      <c r="Y253" s="2" t="n">
        <v>4115</v>
      </c>
      <c r="AA253" s="2" t="n">
        <v>231.92</v>
      </c>
      <c r="AB253" s="2" t="n">
        <v>27.52</v>
      </c>
      <c r="AC253" s="2" t="n">
        <v>74.77</v>
      </c>
      <c r="AD253" s="2" t="n">
        <v>337.58</v>
      </c>
      <c r="AE253" s="2" t="n">
        <v>209.02</v>
      </c>
      <c r="AF253" s="2" t="n">
        <v>112481.1</v>
      </c>
      <c r="AG253" s="2" t="n">
        <v>4224.52</v>
      </c>
    </row>
    <row r="254" ht="16" customHeight="1">
      <c r="A254" s="2" t="inlineStr">
        <is>
          <t>08/20/2025</t>
        </is>
      </c>
      <c r="B254" s="2" t="n">
        <v>110800</v>
      </c>
      <c r="C254" s="2" t="n">
        <v>1074945</v>
      </c>
      <c r="D254" s="2" t="n">
        <v>1051205</v>
      </c>
      <c r="E254" s="2" t="n">
        <v>100.6</v>
      </c>
      <c r="F254" s="2" t="n">
        <v>96.2</v>
      </c>
      <c r="G254" s="2" t="n">
        <v>93.98999999999999</v>
      </c>
      <c r="H254" s="2" t="n">
        <v>79.34999999999999</v>
      </c>
      <c r="I254" s="2" t="n">
        <v>111</v>
      </c>
      <c r="J254" s="2" t="n">
        <v>1394</v>
      </c>
      <c r="K254" s="2" t="n">
        <v>1397.88</v>
      </c>
      <c r="L254" s="2" t="n">
        <v>21100</v>
      </c>
      <c r="M254" s="2" t="n">
        <v>10200</v>
      </c>
      <c r="N254" s="2" t="n">
        <v>9505</v>
      </c>
      <c r="O254" s="2" t="n"/>
      <c r="P254" s="2" t="n">
        <v>55.39</v>
      </c>
      <c r="Q254" s="2" t="n">
        <v>50.32</v>
      </c>
      <c r="R254" s="2" t="n">
        <v>12340</v>
      </c>
      <c r="S254" s="2" t="n">
        <v>13410</v>
      </c>
      <c r="T254" s="2" t="n">
        <v>22435</v>
      </c>
      <c r="U254" s="2" t="n">
        <v>23910</v>
      </c>
      <c r="V254" s="2" t="n">
        <v>20380</v>
      </c>
      <c r="W254" s="2" t="n">
        <v>21685</v>
      </c>
      <c r="X254" s="2" t="n">
        <v>13190</v>
      </c>
      <c r="Y254" s="2" t="n">
        <v>4175</v>
      </c>
      <c r="AA254" s="2" t="n">
        <v>232.97</v>
      </c>
      <c r="AB254" s="2" t="n">
        <v>27.51</v>
      </c>
      <c r="AC254" s="2" t="n">
        <v>75.06999999999999</v>
      </c>
      <c r="AD254" s="2" t="n">
        <v>344.37</v>
      </c>
      <c r="AE254" s="2" t="n">
        <v>209.85</v>
      </c>
      <c r="AF254" s="2" t="n">
        <v>114275</v>
      </c>
      <c r="AG254" s="2" t="n">
        <v>4335.37</v>
      </c>
    </row>
    <row r="255" ht="16" customHeight="1">
      <c r="A255" s="2" t="inlineStr">
        <is>
          <t>08/19/2025</t>
        </is>
      </c>
      <c r="B255" s="2" t="n">
        <v>110795</v>
      </c>
      <c r="C255" s="2" t="n">
        <v>1074870</v>
      </c>
      <c r="D255" s="2" t="n">
        <v>1051130</v>
      </c>
      <c r="E255" s="2" t="n">
        <v>100.58</v>
      </c>
      <c r="F255" s="2" t="n">
        <v>97.13</v>
      </c>
      <c r="G255" s="2" t="n">
        <v>93.59999999999999</v>
      </c>
      <c r="H255" s="2" t="n">
        <v>79.39</v>
      </c>
      <c r="I255" s="2" t="n">
        <v>111.47</v>
      </c>
      <c r="J255" s="2" t="n">
        <v>1394</v>
      </c>
      <c r="K255" s="2" t="n">
        <v>1393.26</v>
      </c>
      <c r="L255" s="2" t="n">
        <v>21040</v>
      </c>
      <c r="M255" s="2" t="n">
        <v>10125</v>
      </c>
      <c r="N255" s="2" t="n">
        <v>9420</v>
      </c>
      <c r="O255" s="2" t="n"/>
      <c r="P255" s="2" t="n">
        <v>55.3</v>
      </c>
      <c r="Q255" s="2" t="n">
        <v>50.29</v>
      </c>
      <c r="R255" s="2" t="n">
        <v>12110</v>
      </c>
      <c r="S255" s="2" t="n">
        <v>13490</v>
      </c>
      <c r="T255" s="2" t="n">
        <v>22455</v>
      </c>
      <c r="U255" s="2" t="n">
        <v>24065</v>
      </c>
      <c r="V255" s="2" t="n">
        <v>20405</v>
      </c>
      <c r="W255" s="2" t="n">
        <v>21920</v>
      </c>
      <c r="X255" s="2" t="n">
        <v>13125</v>
      </c>
      <c r="Y255" s="2" t="n">
        <v>4130</v>
      </c>
      <c r="AA255" s="2" t="n">
        <v>234.36</v>
      </c>
      <c r="AB255" s="2" t="n">
        <v>27.45</v>
      </c>
      <c r="AC255" s="2" t="n">
        <v>75.27</v>
      </c>
      <c r="AD255" s="2" t="n">
        <v>336.57</v>
      </c>
      <c r="AE255" s="2" t="n">
        <v>209.63</v>
      </c>
      <c r="AF255" s="2" t="n">
        <v>112880.3</v>
      </c>
      <c r="AG255" s="2" t="n">
        <v>4075.57</v>
      </c>
    </row>
    <row r="256" ht="16" customHeight="1">
      <c r="A256" s="2" t="inlineStr">
        <is>
          <t>08/18/2025</t>
        </is>
      </c>
      <c r="B256" s="2" t="n">
        <v>110790</v>
      </c>
      <c r="C256" s="2" t="n">
        <v>1074795</v>
      </c>
      <c r="D256" s="2" t="n">
        <v>1051060</v>
      </c>
      <c r="E256" s="2" t="n">
        <v>100.58</v>
      </c>
      <c r="F256" s="2" t="n">
        <v>100.93</v>
      </c>
      <c r="G256" s="2" t="n">
        <v>96.25</v>
      </c>
      <c r="H256" s="2" t="n">
        <v>83.13</v>
      </c>
      <c r="I256" s="2" t="n">
        <v>114.25</v>
      </c>
      <c r="J256" s="2" t="n">
        <v>1391</v>
      </c>
      <c r="K256" s="2" t="n">
        <v>1388.88</v>
      </c>
      <c r="L256" s="2" t="n">
        <v>21030</v>
      </c>
      <c r="M256" s="2" t="n">
        <v>10110</v>
      </c>
      <c r="N256" s="2" t="n">
        <v>9430</v>
      </c>
      <c r="O256" s="2" t="n"/>
      <c r="P256" s="2" t="n">
        <v>55.01</v>
      </c>
      <c r="Q256" s="2" t="n">
        <v>50.25</v>
      </c>
      <c r="R256" s="2" t="n">
        <v>12190</v>
      </c>
      <c r="S256" s="2" t="n">
        <v>13670</v>
      </c>
      <c r="T256" s="2" t="n">
        <v>22400</v>
      </c>
      <c r="U256" s="2" t="n">
        <v>24225</v>
      </c>
      <c r="V256" s="2" t="n">
        <v>20345</v>
      </c>
      <c r="W256" s="2" t="n">
        <v>21880</v>
      </c>
      <c r="X256" s="2" t="n">
        <v>13090</v>
      </c>
      <c r="Y256" s="2" t="n">
        <v>4110</v>
      </c>
      <c r="AA256" s="2" t="n">
        <v>237.57</v>
      </c>
      <c r="AB256" s="2" t="n">
        <v>27.26</v>
      </c>
      <c r="AC256" s="2" t="n">
        <v>75.69</v>
      </c>
      <c r="AD256" s="2" t="n">
        <v>363.6</v>
      </c>
      <c r="AE256" s="2" t="n">
        <v>209.53</v>
      </c>
      <c r="AF256" s="2" t="n">
        <v>116203.8</v>
      </c>
      <c r="AG256" s="2" t="n">
        <v>4311.42</v>
      </c>
    </row>
    <row r="257" ht="16" customHeight="1">
      <c r="A257" s="2" t="inlineStr">
        <is>
          <t>08/17/2025</t>
        </is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>
        <v>1390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AA257" s="2" t="n"/>
      <c r="AB257" s="2" t="n"/>
      <c r="AC257" s="2" t="n"/>
      <c r="AD257" s="2" t="n"/>
      <c r="AE257" s="2" t="n"/>
      <c r="AF257" s="2" t="n">
        <v>117405.4</v>
      </c>
      <c r="AG257" s="2" t="n">
        <v>4472.21</v>
      </c>
    </row>
    <row r="258" ht="16" customHeight="1">
      <c r="A258" s="2" t="inlineStr">
        <is>
          <t>08/16/2025</t>
        </is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>
        <v>1389</v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AA258" s="2" t="n"/>
      <c r="AB258" s="2" t="n"/>
      <c r="AC258" s="2" t="n"/>
      <c r="AD258" s="2" t="n"/>
      <c r="AE258" s="2" t="n"/>
      <c r="AF258" s="2" t="n">
        <v>117413.4</v>
      </c>
      <c r="AG258" s="2" t="n">
        <v>4422.56</v>
      </c>
    </row>
    <row r="259" ht="16" customHeight="1">
      <c r="A259" s="2" t="inlineStr">
        <is>
          <t>08/15/2025</t>
        </is>
      </c>
      <c r="B259" s="2" t="n"/>
      <c r="C259" s="2" t="n"/>
      <c r="D259" s="2" t="n"/>
      <c r="E259" s="2" t="n">
        <v>100.55</v>
      </c>
      <c r="F259" s="2" t="n">
        <v>102.89</v>
      </c>
      <c r="G259" s="2" t="n">
        <v>96.95</v>
      </c>
      <c r="H259" s="2" t="n">
        <v>84.88</v>
      </c>
      <c r="I259" s="2" t="n">
        <v>114.99</v>
      </c>
      <c r="J259" s="2" t="n">
        <v>1398</v>
      </c>
      <c r="K259" s="2" t="n">
        <v>1388.97</v>
      </c>
      <c r="L259" s="2" t="n"/>
      <c r="M259" s="2" t="n"/>
      <c r="N259" s="2" t="n"/>
      <c r="O259" s="2" t="n"/>
      <c r="P259" s="2" t="n">
        <v>55.14</v>
      </c>
      <c r="Q259" s="2" t="n">
        <v>50.27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AA259" s="2" t="n">
        <v>237.65</v>
      </c>
      <c r="AB259" s="2" t="n">
        <v>27.33</v>
      </c>
      <c r="AC259" s="2" t="n">
        <v>75.70999999999999</v>
      </c>
      <c r="AD259" s="2" t="n">
        <v>366.32</v>
      </c>
      <c r="AE259" s="2" t="n">
        <v>209.49</v>
      </c>
      <c r="AF259" s="2" t="n">
        <v>117356.3</v>
      </c>
      <c r="AG259" s="2" t="n">
        <v>4440.05</v>
      </c>
    </row>
    <row r="260" ht="16" customHeight="1">
      <c r="A260" s="2" t="inlineStr">
        <is>
          <t>08/14/2025</t>
        </is>
      </c>
      <c r="B260" s="2" t="n">
        <v>110780</v>
      </c>
      <c r="C260" s="2" t="n">
        <v>1074720</v>
      </c>
      <c r="D260" s="2" t="n">
        <v>1051000</v>
      </c>
      <c r="E260" s="2" t="n">
        <v>100.52</v>
      </c>
      <c r="F260" s="2" t="n">
        <v>104.5</v>
      </c>
      <c r="G260" s="2" t="n">
        <v>98.01000000000001</v>
      </c>
      <c r="H260" s="2" t="n">
        <v>85.31</v>
      </c>
      <c r="I260" s="2" t="n">
        <v>116.42</v>
      </c>
      <c r="J260" s="2" t="n">
        <v>1392</v>
      </c>
      <c r="K260" s="2" t="n">
        <v>1388.95</v>
      </c>
      <c r="L260" s="2" t="n">
        <v>21065</v>
      </c>
      <c r="M260" s="2" t="n">
        <v>10145</v>
      </c>
      <c r="N260" s="2" t="n">
        <v>9530</v>
      </c>
      <c r="O260" s="2" t="n"/>
      <c r="P260" s="2" t="n">
        <v>55.48</v>
      </c>
      <c r="Q260" s="2" t="n">
        <v>50.31</v>
      </c>
      <c r="R260" s="2" t="n">
        <v>12275</v>
      </c>
      <c r="S260" s="2" t="n">
        <v>14025</v>
      </c>
      <c r="T260" s="2" t="n">
        <v>22385</v>
      </c>
      <c r="U260" s="2" t="n">
        <v>24600</v>
      </c>
      <c r="V260" s="2" t="n">
        <v>20335</v>
      </c>
      <c r="W260" s="2" t="n">
        <v>21925</v>
      </c>
      <c r="X260" s="2" t="n">
        <v>13065</v>
      </c>
      <c r="Y260" s="2" t="n">
        <v>4105</v>
      </c>
      <c r="AA260" s="2" t="n">
        <v>238.7</v>
      </c>
      <c r="AB260" s="2" t="n">
        <v>27.34</v>
      </c>
      <c r="AC260" s="2" t="n">
        <v>75.88</v>
      </c>
      <c r="AD260" s="2" t="n">
        <v>372.94</v>
      </c>
      <c r="AE260" s="2" t="n">
        <v>210.07</v>
      </c>
      <c r="AF260" s="2" t="n">
        <v>118314.2</v>
      </c>
      <c r="AG260" s="2" t="n">
        <v>4547.35</v>
      </c>
    </row>
    <row r="261" ht="16" customHeight="1">
      <c r="A261" s="2" t="inlineStr">
        <is>
          <t>08/13/2025</t>
        </is>
      </c>
      <c r="B261" s="2" t="n">
        <v>110745</v>
      </c>
      <c r="C261" s="2" t="n">
        <v>1074645</v>
      </c>
      <c r="D261" s="2" t="n">
        <v>1050915</v>
      </c>
      <c r="E261" s="2" t="n">
        <v>100.51</v>
      </c>
      <c r="F261" s="2" t="n">
        <v>107</v>
      </c>
      <c r="G261" s="2" t="n">
        <v>97.90000000000001</v>
      </c>
      <c r="H261" s="2" t="n">
        <v>85.91</v>
      </c>
      <c r="I261" s="2" t="n">
        <v>117.08</v>
      </c>
      <c r="J261" s="2" t="n">
        <v>1365</v>
      </c>
      <c r="K261" s="2" t="n">
        <v>1379.8</v>
      </c>
      <c r="L261" s="2" t="n">
        <v>20995</v>
      </c>
      <c r="M261" s="2" t="n">
        <v>10120</v>
      </c>
      <c r="N261" s="2" t="n">
        <v>9480</v>
      </c>
      <c r="O261" s="2" t="n"/>
      <c r="P261" s="2" t="n">
        <v>55.87</v>
      </c>
      <c r="Q261" s="2" t="n">
        <v>50.34</v>
      </c>
      <c r="R261" s="2" t="n">
        <v>12205</v>
      </c>
      <c r="S261" s="2" t="n">
        <v>13995</v>
      </c>
      <c r="T261" s="2" t="n">
        <v>22335</v>
      </c>
      <c r="U261" s="2" t="n">
        <v>24625</v>
      </c>
      <c r="V261" s="2" t="n">
        <v>20290</v>
      </c>
      <c r="W261" s="2" t="n">
        <v>21955</v>
      </c>
      <c r="X261" s="2" t="n">
        <v>13045</v>
      </c>
      <c r="Y261" s="2" t="n">
        <v>4050</v>
      </c>
      <c r="AA261" s="2" t="n">
        <v>238.91</v>
      </c>
      <c r="AB261" s="2" t="n">
        <v>27.46</v>
      </c>
      <c r="AC261" s="2" t="n">
        <v>75.86</v>
      </c>
      <c r="AD261" s="2" t="n">
        <v>389.9</v>
      </c>
      <c r="AE261" s="2" t="n">
        <v>209.96</v>
      </c>
      <c r="AF261" s="2" t="n">
        <v>123323.4</v>
      </c>
      <c r="AG261" s="2" t="n">
        <v>4747.87</v>
      </c>
    </row>
    <row r="262" ht="16" customHeight="1">
      <c r="A262" s="2" t="inlineStr">
        <is>
          <t>08/12/2025</t>
        </is>
      </c>
      <c r="B262" s="2" t="n">
        <v>110740</v>
      </c>
      <c r="C262" s="2" t="n">
        <v>1074360</v>
      </c>
      <c r="D262" s="2" t="n">
        <v>1050625</v>
      </c>
      <c r="E262" s="2" t="n">
        <v>100.49</v>
      </c>
      <c r="F262" s="2" t="n">
        <v>108</v>
      </c>
      <c r="G262" s="2" t="n">
        <v>97.79000000000001</v>
      </c>
      <c r="H262" s="2" t="n">
        <v>86.02</v>
      </c>
      <c r="I262" s="2" t="n">
        <v>117.23</v>
      </c>
      <c r="J262" s="2" t="n">
        <v>1368</v>
      </c>
      <c r="K262" s="2" t="n">
        <v>1384.17</v>
      </c>
      <c r="L262" s="2" t="n">
        <v>21035</v>
      </c>
      <c r="M262" s="2" t="n">
        <v>10155</v>
      </c>
      <c r="N262" s="2" t="n">
        <v>9545</v>
      </c>
      <c r="O262" s="2" t="n"/>
      <c r="P262" s="2" t="n">
        <v>55.44</v>
      </c>
      <c r="Q262" s="2" t="n">
        <v>50.26</v>
      </c>
      <c r="R262" s="2" t="n">
        <v>12115</v>
      </c>
      <c r="S262" s="2" t="n">
        <v>13755</v>
      </c>
      <c r="T262" s="2" t="n">
        <v>22255</v>
      </c>
      <c r="U262" s="2" t="n">
        <v>24355</v>
      </c>
      <c r="V262" s="2" t="n">
        <v>20220</v>
      </c>
      <c r="W262" s="2" t="n">
        <v>21805</v>
      </c>
      <c r="X262" s="2" t="n">
        <v>13060</v>
      </c>
      <c r="Y262" s="2" t="n">
        <v>4170</v>
      </c>
      <c r="AA262" s="2" t="n">
        <v>238.78</v>
      </c>
      <c r="AB262" s="2" t="n">
        <v>27.1</v>
      </c>
      <c r="AC262" s="2" t="n">
        <v>75.62</v>
      </c>
      <c r="AD262" s="2" t="n">
        <v>394.39</v>
      </c>
      <c r="AE262" s="2" t="n">
        <v>208.67</v>
      </c>
      <c r="AF262" s="2" t="n">
        <v>120146.2</v>
      </c>
      <c r="AG262" s="2" t="n">
        <v>4590.71</v>
      </c>
    </row>
    <row r="263" ht="16" customHeight="1">
      <c r="A263" s="2" t="inlineStr">
        <is>
          <t>08/11/2025</t>
        </is>
      </c>
      <c r="B263" s="2" t="n">
        <v>110735</v>
      </c>
      <c r="C263" s="2" t="n">
        <v>1074285</v>
      </c>
      <c r="D263" s="2" t="n">
        <v>1050565</v>
      </c>
      <c r="E263" s="2" t="n">
        <v>100.49</v>
      </c>
      <c r="F263" s="2" t="n">
        <v>109.17</v>
      </c>
      <c r="G263" s="2" t="n">
        <v>98.05</v>
      </c>
      <c r="H263" s="2" t="n">
        <v>86.12</v>
      </c>
      <c r="I263" s="2" t="n">
        <v>117.4</v>
      </c>
      <c r="J263" s="2" t="n">
        <v>1383</v>
      </c>
      <c r="K263" s="2" t="n">
        <v>1390.86</v>
      </c>
      <c r="L263" s="2" t="n">
        <v>21235</v>
      </c>
      <c r="M263" s="2" t="n">
        <v>10165</v>
      </c>
      <c r="N263" s="2" t="n">
        <v>9555</v>
      </c>
      <c r="O263" s="2" t="n"/>
      <c r="P263" s="2" t="n">
        <v>55.7</v>
      </c>
      <c r="Q263" s="2" t="n">
        <v>50.28</v>
      </c>
      <c r="R263" s="2" t="n">
        <v>12120</v>
      </c>
      <c r="S263" s="2" t="n">
        <v>13875</v>
      </c>
      <c r="T263" s="2" t="n">
        <v>22265</v>
      </c>
      <c r="U263" s="2" t="n">
        <v>24450</v>
      </c>
      <c r="V263" s="2" t="n">
        <v>20235</v>
      </c>
      <c r="W263" s="2" t="n">
        <v>21850</v>
      </c>
      <c r="X263" s="2" t="n">
        <v>13060</v>
      </c>
      <c r="Y263" s="2" t="n">
        <v>4085</v>
      </c>
      <c r="AA263" s="2" t="n">
        <v>235.83</v>
      </c>
      <c r="AB263" s="2" t="n">
        <v>26.79</v>
      </c>
      <c r="AC263" s="2" t="n">
        <v>74.8</v>
      </c>
      <c r="AD263" s="2" t="n">
        <v>400.25</v>
      </c>
      <c r="AE263" s="2" t="n">
        <v>206.72</v>
      </c>
      <c r="AF263" s="2" t="n">
        <v>118689.6</v>
      </c>
      <c r="AG263" s="2" t="n">
        <v>4223.42</v>
      </c>
    </row>
    <row r="264" ht="16" customHeight="1">
      <c r="A264" s="2" t="inlineStr">
        <is>
          <t>08/10/2025</t>
        </is>
      </c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>
        <v>1374</v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AA264" s="2" t="n"/>
      <c r="AB264" s="2" t="n"/>
      <c r="AC264" s="2" t="n"/>
      <c r="AD264" s="2" t="n"/>
      <c r="AE264" s="2" t="n"/>
      <c r="AF264" s="2" t="n">
        <v>119287</v>
      </c>
      <c r="AG264" s="2" t="n">
        <v>4250.18</v>
      </c>
    </row>
    <row r="265" ht="16" customHeight="1">
      <c r="A265" s="2" t="inlineStr">
        <is>
          <t>08/09/2025</t>
        </is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>
        <v>1377</v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AA265" s="2" t="n"/>
      <c r="AB265" s="2" t="n"/>
      <c r="AC265" s="2" t="n"/>
      <c r="AD265" s="2" t="n"/>
      <c r="AE265" s="2" t="n"/>
      <c r="AF265" s="2" t="n">
        <v>116471.6</v>
      </c>
      <c r="AG265" s="2" t="n">
        <v>4260.74</v>
      </c>
    </row>
    <row r="266" ht="16" customHeight="1">
      <c r="A266" s="2" t="inlineStr">
        <is>
          <t>08/08/2025</t>
        </is>
      </c>
      <c r="B266" s="2" t="n">
        <v>110725</v>
      </c>
      <c r="C266" s="2" t="n">
        <v>1074210</v>
      </c>
      <c r="D266" s="2" t="n">
        <v>1050485</v>
      </c>
      <c r="E266" s="2" t="n">
        <v>100.48</v>
      </c>
      <c r="F266" s="2" t="n">
        <v>109</v>
      </c>
      <c r="G266" s="2" t="n">
        <v>97.5</v>
      </c>
      <c r="H266" s="2" t="n">
        <v>86</v>
      </c>
      <c r="I266" s="2" t="n">
        <v>117.81</v>
      </c>
      <c r="J266" s="2" t="n">
        <v>1372</v>
      </c>
      <c r="K266" s="2" t="n">
        <v>1388.83</v>
      </c>
      <c r="L266" s="2" t="n">
        <v>21500</v>
      </c>
      <c r="M266" s="2" t="n">
        <v>10180</v>
      </c>
      <c r="N266" s="2" t="n">
        <v>9560</v>
      </c>
      <c r="O266" s="2" t="n"/>
      <c r="P266" s="2" t="n">
        <v>55.64</v>
      </c>
      <c r="Q266" s="2" t="n">
        <v>50.27</v>
      </c>
      <c r="R266" s="2" t="n">
        <v>12250</v>
      </c>
      <c r="S266" s="2" t="n">
        <v>13740</v>
      </c>
      <c r="T266" s="2" t="n">
        <v>22135</v>
      </c>
      <c r="U266" s="2" t="n">
        <v>24450</v>
      </c>
      <c r="V266" s="2" t="n">
        <v>20105</v>
      </c>
      <c r="W266" s="2" t="n">
        <v>21685</v>
      </c>
      <c r="X266" s="2" t="n">
        <v>13045</v>
      </c>
      <c r="Y266" s="2" t="n">
        <v>4050</v>
      </c>
      <c r="AA266" s="2" t="n">
        <v>236.52</v>
      </c>
      <c r="AB266" s="2" t="n">
        <v>26.88</v>
      </c>
      <c r="AC266" s="2" t="n">
        <v>74.95999999999999</v>
      </c>
      <c r="AD266" s="2" t="n">
        <v>395.13</v>
      </c>
      <c r="AE266" s="2" t="n">
        <v>207.17</v>
      </c>
      <c r="AF266" s="2" t="n">
        <v>116676.3</v>
      </c>
      <c r="AG266" s="2" t="n">
        <v>4008.96</v>
      </c>
    </row>
    <row r="267" ht="16" customHeight="1">
      <c r="A267" s="2" t="inlineStr">
        <is>
          <t>08/07/2025</t>
        </is>
      </c>
      <c r="B267" s="2" t="n">
        <v>110700</v>
      </c>
      <c r="C267" s="2" t="n">
        <v>1074135</v>
      </c>
      <c r="D267" s="2" t="n">
        <v>1050395</v>
      </c>
      <c r="E267" s="2" t="n">
        <v>100.43</v>
      </c>
      <c r="F267" s="2" t="n">
        <v>109.4</v>
      </c>
      <c r="G267" s="2" t="n">
        <v>97.59</v>
      </c>
      <c r="H267" s="2" t="n">
        <v>86.34999999999999</v>
      </c>
      <c r="I267" s="2" t="n">
        <v>117.68</v>
      </c>
      <c r="J267" s="2" t="n">
        <v>1379</v>
      </c>
      <c r="K267" s="2" t="n">
        <v>1383.7</v>
      </c>
      <c r="L267" s="2" t="n">
        <v>21170</v>
      </c>
      <c r="M267" s="2" t="n">
        <v>10135</v>
      </c>
      <c r="N267" s="2" t="n">
        <v>9525</v>
      </c>
      <c r="O267" s="2" t="n"/>
      <c r="P267" s="2" t="n">
        <v>55.85</v>
      </c>
      <c r="Q267" s="2" t="n">
        <v>50.25</v>
      </c>
      <c r="R267" s="2" t="n">
        <v>12170</v>
      </c>
      <c r="S267" s="2" t="n">
        <v>13710</v>
      </c>
      <c r="T267" s="2" t="n">
        <v>22030</v>
      </c>
      <c r="U267" s="2" t="n">
        <v>24505</v>
      </c>
      <c r="V267" s="2" t="n">
        <v>20025</v>
      </c>
      <c r="W267" s="2" t="n">
        <v>21510</v>
      </c>
      <c r="X267" s="2" t="n">
        <v>13000</v>
      </c>
      <c r="Y267" s="2" t="n">
        <v>4055</v>
      </c>
      <c r="AA267" s="2" t="n">
        <v>234.35</v>
      </c>
      <c r="AB267" s="2" t="n">
        <v>26.75</v>
      </c>
      <c r="AC267" s="2" t="n">
        <v>74.39</v>
      </c>
      <c r="AD267" s="2" t="n">
        <v>402.01</v>
      </c>
      <c r="AE267" s="2" t="n">
        <v>206.01</v>
      </c>
      <c r="AF267" s="2" t="n">
        <v>117480.5</v>
      </c>
      <c r="AG267" s="2" t="n">
        <v>3909.96</v>
      </c>
    </row>
    <row r="268" ht="16" customHeight="1">
      <c r="A268" s="2" t="inlineStr">
        <is>
          <t>08/06/2025</t>
        </is>
      </c>
      <c r="B268" s="2" t="n">
        <v>110690</v>
      </c>
      <c r="C268" s="2" t="n">
        <v>1073920</v>
      </c>
      <c r="D268" s="2" t="n">
        <v>1050180</v>
      </c>
      <c r="E268" s="2" t="n">
        <v>100.43</v>
      </c>
      <c r="F268" s="2" t="n">
        <v>106.05</v>
      </c>
      <c r="G268" s="2" t="n">
        <v>97</v>
      </c>
      <c r="H268" s="2" t="n">
        <v>85.72</v>
      </c>
      <c r="I268" s="2" t="n">
        <v>116.56</v>
      </c>
      <c r="J268" s="2" t="n">
        <v>1392</v>
      </c>
      <c r="K268" s="2" t="n">
        <v>1384.67</v>
      </c>
      <c r="L268" s="2" t="n">
        <v>21205</v>
      </c>
      <c r="M268" s="2" t="n">
        <v>10185</v>
      </c>
      <c r="N268" s="2" t="n">
        <v>9625</v>
      </c>
      <c r="O268" s="2" t="n"/>
      <c r="P268" s="2" t="n">
        <v>55.92</v>
      </c>
      <c r="Q268" s="2" t="n">
        <v>50.23</v>
      </c>
      <c r="R268" s="2" t="n">
        <v>12300</v>
      </c>
      <c r="S268" s="2" t="n">
        <v>13720</v>
      </c>
      <c r="T268" s="2" t="n">
        <v>22040</v>
      </c>
      <c r="U268" s="2" t="n">
        <v>24290</v>
      </c>
      <c r="V268" s="2" t="n">
        <v>20030</v>
      </c>
      <c r="W268" s="2" t="n">
        <v>21370</v>
      </c>
      <c r="X268" s="2" t="n">
        <v>13035</v>
      </c>
      <c r="Y268" s="2" t="n">
        <v>4025</v>
      </c>
      <c r="AA268" s="2" t="n">
        <v>233.52</v>
      </c>
      <c r="AB268" s="2" t="n">
        <v>26.68</v>
      </c>
      <c r="AC268" s="2" t="n">
        <v>74.44</v>
      </c>
      <c r="AD268" s="2" t="n">
        <v>383.41</v>
      </c>
      <c r="AE268" s="2" t="n">
        <v>206.89</v>
      </c>
      <c r="AF268" s="2" t="n">
        <v>115002.1</v>
      </c>
      <c r="AG268" s="2" t="n">
        <v>3683.36</v>
      </c>
    </row>
    <row r="269" ht="16" customHeight="1">
      <c r="A269" s="2" t="inlineStr">
        <is>
          <t>08/05/2025</t>
        </is>
      </c>
      <c r="B269" s="2" t="n">
        <v>110685</v>
      </c>
      <c r="C269" s="2" t="n">
        <v>1073845</v>
      </c>
      <c r="D269" s="2" t="n">
        <v>1050115</v>
      </c>
      <c r="E269" s="2" t="n">
        <v>100.42</v>
      </c>
      <c r="F269" s="2" t="n">
        <v>106.19</v>
      </c>
      <c r="G269" s="2" t="n">
        <v>96.5</v>
      </c>
      <c r="H269" s="2" t="n">
        <v>84.25</v>
      </c>
      <c r="I269" s="2" t="n">
        <v>116.55</v>
      </c>
      <c r="J269" s="2" t="n">
        <v>1402</v>
      </c>
      <c r="K269" s="2" t="n">
        <v>1386.79</v>
      </c>
      <c r="L269" s="2" t="n">
        <v>21140</v>
      </c>
      <c r="M269" s="2" t="n">
        <v>10185</v>
      </c>
      <c r="N269" s="2" t="n">
        <v>9625</v>
      </c>
      <c r="O269" s="2" t="n"/>
      <c r="P269" s="2" t="n">
        <v>56.22</v>
      </c>
      <c r="Q269" s="2" t="n">
        <v>50.23</v>
      </c>
      <c r="R269" s="2" t="n">
        <v>12200</v>
      </c>
      <c r="S269" s="2" t="n">
        <v>13620</v>
      </c>
      <c r="T269" s="2" t="n">
        <v>22090</v>
      </c>
      <c r="U269" s="2" t="n">
        <v>24315</v>
      </c>
      <c r="V269" s="2" t="n">
        <v>20065</v>
      </c>
      <c r="W269" s="2" t="n">
        <v>21505</v>
      </c>
      <c r="X269" s="2" t="n">
        <v>13045</v>
      </c>
      <c r="Y269" s="2" t="n">
        <v>4035</v>
      </c>
      <c r="AA269" s="2" t="n">
        <v>230.6</v>
      </c>
      <c r="AB269" s="2" t="n">
        <v>26.74</v>
      </c>
      <c r="AC269" s="2" t="n">
        <v>73.89</v>
      </c>
      <c r="AD269" s="2" t="n">
        <v>375.46</v>
      </c>
      <c r="AE269" s="2" t="n">
        <v>206</v>
      </c>
      <c r="AF269" s="2" t="n">
        <v>114139.1</v>
      </c>
      <c r="AG269" s="2" t="n">
        <v>3611.69</v>
      </c>
    </row>
    <row r="270" ht="16" customHeight="1">
      <c r="A270" s="2" t="inlineStr">
        <is>
          <t>08/04/2025</t>
        </is>
      </c>
      <c r="B270" s="2" t="n">
        <v>110675</v>
      </c>
      <c r="C270" s="2" t="n">
        <v>1073770</v>
      </c>
      <c r="D270" s="2" t="n">
        <v>1050050</v>
      </c>
      <c r="E270" s="2" t="n">
        <v>100.41</v>
      </c>
      <c r="F270" s="2" t="n">
        <v>106.77</v>
      </c>
      <c r="G270" s="2" t="n">
        <v>96.39</v>
      </c>
      <c r="H270" s="2" t="n">
        <v>85.18000000000001</v>
      </c>
      <c r="I270" s="2" t="n">
        <v>118.55</v>
      </c>
      <c r="J270" s="2" t="n">
        <v>1394</v>
      </c>
      <c r="K270" s="2" t="n">
        <v>1385.57</v>
      </c>
      <c r="L270" s="2" t="n">
        <v>21020</v>
      </c>
      <c r="M270" s="2" t="n">
        <v>10130</v>
      </c>
      <c r="N270" s="2" t="n">
        <v>9490</v>
      </c>
      <c r="O270" s="2" t="n"/>
      <c r="P270" s="2" t="n">
        <v>56.07</v>
      </c>
      <c r="Q270" s="2" t="n">
        <v>50.26</v>
      </c>
      <c r="R270" s="2" t="n">
        <v>12110</v>
      </c>
      <c r="S270" s="2" t="n">
        <v>13330</v>
      </c>
      <c r="T270" s="2" t="n">
        <v>21750</v>
      </c>
      <c r="U270" s="2" t="n">
        <v>23980</v>
      </c>
      <c r="V270" s="2" t="n">
        <v>19760</v>
      </c>
      <c r="W270" s="2" t="n">
        <v>21105</v>
      </c>
      <c r="X270" s="2" t="n">
        <v>12945</v>
      </c>
      <c r="Y270" s="2" t="n">
        <v>4020</v>
      </c>
      <c r="AA270" s="2" t="n">
        <v>232.22</v>
      </c>
      <c r="AB270" s="2" t="n">
        <v>26.61</v>
      </c>
      <c r="AC270" s="2" t="n">
        <v>74.25</v>
      </c>
      <c r="AD270" s="2" t="n">
        <v>389.24</v>
      </c>
      <c r="AE270" s="2" t="n">
        <v>206.79</v>
      </c>
      <c r="AF270" s="2" t="n">
        <v>115055.3</v>
      </c>
      <c r="AG270" s="2" t="n">
        <v>3720.89</v>
      </c>
    </row>
    <row r="271" ht="16" customHeight="1">
      <c r="A271" s="2" t="inlineStr">
        <is>
          <t>08/03/2025</t>
        </is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>
        <v>1403</v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AA271" s="2" t="n"/>
      <c r="AB271" s="2" t="n"/>
      <c r="AC271" s="2" t="n"/>
      <c r="AD271" s="2" t="n"/>
      <c r="AE271" s="2" t="n"/>
      <c r="AF271" s="2" t="n">
        <v>114213.1</v>
      </c>
      <c r="AG271" s="2" t="n">
        <v>3496.26</v>
      </c>
    </row>
    <row r="272" ht="16" customHeight="1">
      <c r="A272" s="2" t="inlineStr">
        <is>
          <t>08/02/2025</t>
        </is>
      </c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>
        <v>1399</v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AA272" s="2" t="n"/>
      <c r="AB272" s="2" t="n"/>
      <c r="AC272" s="2" t="n"/>
      <c r="AD272" s="2" t="n"/>
      <c r="AE272" s="2" t="n"/>
      <c r="AF272" s="2" t="n">
        <v>112547.7</v>
      </c>
      <c r="AG272" s="2" t="n">
        <v>3393.92</v>
      </c>
    </row>
    <row r="273" ht="16" customHeight="1">
      <c r="A273" s="2" t="inlineStr">
        <is>
          <t>08/01/2025</t>
        </is>
      </c>
      <c r="B273" s="2" t="n">
        <v>110670</v>
      </c>
      <c r="C273" s="2" t="n">
        <v>1073695</v>
      </c>
      <c r="D273" s="2" t="n">
        <v>1049975</v>
      </c>
      <c r="E273" s="2" t="n">
        <v>100.39</v>
      </c>
      <c r="F273" s="2" t="n">
        <v>106</v>
      </c>
      <c r="G273" s="2" t="n">
        <v>94.14</v>
      </c>
      <c r="H273" s="2" t="n">
        <v>84.42</v>
      </c>
      <c r="I273" s="2" t="n">
        <v>117.41</v>
      </c>
      <c r="J273" s="2" t="n">
        <v>1394</v>
      </c>
      <c r="K273" s="2" t="n">
        <v>1389.03</v>
      </c>
      <c r="L273" s="2" t="n">
        <v>20890</v>
      </c>
      <c r="M273" s="2" t="n">
        <v>10150</v>
      </c>
      <c r="N273" s="2" t="n">
        <v>9490</v>
      </c>
      <c r="O273" s="2" t="n"/>
      <c r="P273" s="2" t="n">
        <v>55.93</v>
      </c>
      <c r="Q273" s="2" t="n">
        <v>50.2</v>
      </c>
      <c r="R273" s="2" t="n">
        <v>12190</v>
      </c>
      <c r="S273" s="2" t="n">
        <v>13125</v>
      </c>
      <c r="T273" s="2" t="n">
        <v>22210</v>
      </c>
      <c r="U273" s="2" t="n">
        <v>23690</v>
      </c>
      <c r="V273" s="2" t="n">
        <v>20170</v>
      </c>
      <c r="W273" s="2" t="n">
        <v>21590</v>
      </c>
      <c r="X273" s="2" t="n">
        <v>13110</v>
      </c>
      <c r="Y273" s="2" t="n">
        <v>3960</v>
      </c>
      <c r="AA273" s="2" t="n">
        <v>228.02</v>
      </c>
      <c r="AB273" s="2" t="n">
        <v>26.38</v>
      </c>
      <c r="AC273" s="2" t="n">
        <v>73.15000000000001</v>
      </c>
      <c r="AD273" s="2" t="n">
        <v>366.63</v>
      </c>
      <c r="AE273" s="2" t="n">
        <v>204.09</v>
      </c>
      <c r="AF273" s="2" t="n">
        <v>113312.1</v>
      </c>
      <c r="AG273" s="2" t="n">
        <v>3488.36</v>
      </c>
    </row>
    <row r="274" ht="16" customHeight="1">
      <c r="A274" s="2" t="inlineStr">
        <is>
          <t>07/31/2025</t>
        </is>
      </c>
      <c r="B274" s="2" t="n">
        <v>110645</v>
      </c>
      <c r="C274" s="2" t="n">
        <v>1073620</v>
      </c>
      <c r="D274" s="2" t="n">
        <v>1049895</v>
      </c>
      <c r="E274" s="2" t="n">
        <v>100.72</v>
      </c>
      <c r="F274" s="2" t="n">
        <v>111.21</v>
      </c>
      <c r="G274" s="2" t="n">
        <v>94.48</v>
      </c>
      <c r="H274" s="2" t="n">
        <v>85.40000000000001</v>
      </c>
      <c r="I274" s="2" t="n">
        <v>121.2</v>
      </c>
      <c r="J274" s="2" t="n">
        <v>1394</v>
      </c>
      <c r="K274" s="2" t="n">
        <v>1392.47</v>
      </c>
      <c r="L274" s="2" t="n">
        <v>20755</v>
      </c>
      <c r="M274" s="2" t="n">
        <v>10080</v>
      </c>
      <c r="N274" s="2" t="n">
        <v>9485</v>
      </c>
      <c r="O274" s="2" t="n"/>
      <c r="P274" s="2" t="n">
        <v>55.41</v>
      </c>
      <c r="Q274" s="2" t="n">
        <v>50</v>
      </c>
      <c r="R274" s="2" t="n">
        <v>12425</v>
      </c>
      <c r="S274" s="2" t="n">
        <v>13775</v>
      </c>
      <c r="T274" s="2" t="n">
        <v>22350</v>
      </c>
      <c r="U274" s="2" t="n">
        <v>24725</v>
      </c>
      <c r="V274" s="2" t="n">
        <v>20300</v>
      </c>
      <c r="W274" s="2" t="n">
        <v>21870</v>
      </c>
      <c r="X274" s="2" t="n">
        <v>13055</v>
      </c>
      <c r="Y274" s="2" t="n">
        <v>3890</v>
      </c>
      <c r="AA274" s="2" t="n">
        <v>232.57</v>
      </c>
      <c r="AB274" s="2" t="n">
        <v>26.5</v>
      </c>
      <c r="AC274" s="2" t="n">
        <v>74.34</v>
      </c>
      <c r="AD274" s="2" t="n">
        <v>401.86</v>
      </c>
      <c r="AE274" s="2" t="n">
        <v>206.06</v>
      </c>
      <c r="AF274" s="2" t="n">
        <v>115765</v>
      </c>
      <c r="AG274" s="2" t="n">
        <v>3698.46</v>
      </c>
    </row>
    <row r="275" ht="16" customHeight="1">
      <c r="A275" s="2" t="inlineStr">
        <is>
          <t>07/30/2025</t>
        </is>
      </c>
      <c r="B275" s="2" t="n">
        <v>110640</v>
      </c>
      <c r="C275" s="2" t="n">
        <v>1073405</v>
      </c>
      <c r="D275" s="2" t="n">
        <v>1049670</v>
      </c>
      <c r="E275" s="2" t="n">
        <v>100.71</v>
      </c>
      <c r="F275" s="2" t="n">
        <v>104.57</v>
      </c>
      <c r="G275" s="2" t="n">
        <v>94.5</v>
      </c>
      <c r="H275" s="2" t="n">
        <v>84.33</v>
      </c>
      <c r="I275" s="2" t="n">
        <v>117.93</v>
      </c>
      <c r="J275" s="2" t="n">
        <v>1384</v>
      </c>
      <c r="K275" s="2" t="n">
        <v>1393.18</v>
      </c>
      <c r="L275" s="2" t="n">
        <v>20800</v>
      </c>
      <c r="M275" s="2" t="n">
        <v>10035</v>
      </c>
      <c r="N275" s="2" t="n">
        <v>9455</v>
      </c>
      <c r="O275" s="2" t="n"/>
      <c r="P275" s="2" t="n">
        <v>55.32</v>
      </c>
      <c r="Q275" s="2" t="n">
        <v>50.06</v>
      </c>
      <c r="R275" s="2" t="n">
        <v>12500</v>
      </c>
      <c r="S275" s="2" t="n">
        <v>13725</v>
      </c>
      <c r="T275" s="2" t="n">
        <v>22135</v>
      </c>
      <c r="U275" s="2" t="n">
        <v>24760</v>
      </c>
      <c r="V275" s="2" t="n">
        <v>20105</v>
      </c>
      <c r="W275" s="2" t="n">
        <v>21535</v>
      </c>
      <c r="X275" s="2" t="n">
        <v>12995</v>
      </c>
      <c r="Y275" s="2" t="n">
        <v>3830</v>
      </c>
      <c r="AA275" s="2" t="n">
        <v>233.8</v>
      </c>
      <c r="AB275" s="2" t="n">
        <v>26.84</v>
      </c>
      <c r="AC275" s="2" t="n">
        <v>74.65000000000001</v>
      </c>
      <c r="AD275" s="2" t="n">
        <v>395.04</v>
      </c>
      <c r="AE275" s="2" t="n">
        <v>207.67</v>
      </c>
      <c r="AF275" s="2" t="n">
        <v>117840.4</v>
      </c>
      <c r="AG275" s="2" t="n">
        <v>3808.91</v>
      </c>
    </row>
    <row r="276" ht="16" customHeight="1">
      <c r="A276" s="2" t="inlineStr">
        <is>
          <t>07/29/2025</t>
        </is>
      </c>
      <c r="B276" s="2" t="n">
        <v>110850</v>
      </c>
      <c r="C276" s="2" t="n">
        <v>1075515</v>
      </c>
      <c r="D276" s="2" t="n">
        <v>1049595</v>
      </c>
      <c r="E276" s="2" t="n">
        <v>100.69</v>
      </c>
      <c r="F276" s="2" t="n">
        <v>106.98</v>
      </c>
      <c r="G276" s="2" t="n">
        <v>93.25</v>
      </c>
      <c r="H276" s="2" t="n">
        <v>83.90000000000001</v>
      </c>
      <c r="I276" s="2" t="n">
        <v>115.05</v>
      </c>
      <c r="J276" s="2" t="n">
        <v>1385</v>
      </c>
      <c r="K276" s="2" t="n">
        <v>1388.39</v>
      </c>
      <c r="L276" s="2" t="n">
        <v>20870</v>
      </c>
      <c r="M276" s="2" t="n">
        <v>10050</v>
      </c>
      <c r="N276" s="2" t="n">
        <v>9400</v>
      </c>
      <c r="O276" s="2" t="n"/>
      <c r="P276" s="2" t="n">
        <v>55.62</v>
      </c>
      <c r="Q276" s="2" t="n">
        <v>50.11</v>
      </c>
      <c r="R276" s="2" t="n">
        <v>12340</v>
      </c>
      <c r="S276" s="2" t="n">
        <v>13740</v>
      </c>
      <c r="T276" s="2" t="n">
        <v>22380</v>
      </c>
      <c r="U276" s="2" t="n">
        <v>24565</v>
      </c>
      <c r="V276" s="2" t="n">
        <v>20380</v>
      </c>
      <c r="W276" s="2" t="n">
        <v>21750</v>
      </c>
      <c r="X276" s="2" t="n">
        <v>13070</v>
      </c>
      <c r="Y276" s="2" t="n">
        <v>3775</v>
      </c>
      <c r="AA276" s="2" t="n">
        <v>233.54</v>
      </c>
      <c r="AB276" s="2" t="n">
        <v>27.17</v>
      </c>
      <c r="AC276" s="2" t="n">
        <v>74.73999999999999</v>
      </c>
      <c r="AD276" s="2" t="n">
        <v>394.66</v>
      </c>
      <c r="AE276" s="2" t="n">
        <v>208.38</v>
      </c>
      <c r="AF276" s="2" t="n">
        <v>117950.1</v>
      </c>
      <c r="AG276" s="2" t="n">
        <v>3793.94</v>
      </c>
    </row>
    <row r="277" ht="16" customHeight="1">
      <c r="A277" s="2" t="inlineStr">
        <is>
          <t>07/28/2025</t>
        </is>
      </c>
      <c r="B277" s="2" t="n">
        <v>110850</v>
      </c>
      <c r="C277" s="2" t="n">
        <v>1075440</v>
      </c>
      <c r="D277" s="2" t="n">
        <v>1049525</v>
      </c>
      <c r="E277" s="2" t="n">
        <v>100.69</v>
      </c>
      <c r="F277" s="2" t="n">
        <v>104</v>
      </c>
      <c r="G277" s="2" t="n">
        <v>89.95</v>
      </c>
      <c r="H277" s="2" t="n">
        <v>84.86</v>
      </c>
      <c r="I277" s="2" t="n">
        <v>112.88</v>
      </c>
      <c r="J277" s="2" t="n">
        <v>1377</v>
      </c>
      <c r="K277" s="2" t="n">
        <v>1389.58</v>
      </c>
      <c r="L277" s="2" t="n">
        <v>20830</v>
      </c>
      <c r="M277" s="2" t="n">
        <v>9980</v>
      </c>
      <c r="N277" s="2" t="n">
        <v>9350</v>
      </c>
      <c r="O277" s="2" t="n"/>
      <c r="P277" s="2" t="n">
        <v>54.79</v>
      </c>
      <c r="Q277" s="2" t="n">
        <v>50.04</v>
      </c>
      <c r="R277" s="2" t="n">
        <v>12525</v>
      </c>
      <c r="S277" s="2" t="n">
        <v>13790</v>
      </c>
      <c r="T277" s="2" t="n">
        <v>22300</v>
      </c>
      <c r="U277" s="2" t="n">
        <v>24395</v>
      </c>
      <c r="V277" s="2" t="n">
        <v>20300</v>
      </c>
      <c r="W277" s="2" t="n">
        <v>21615</v>
      </c>
      <c r="X277" s="2" t="n">
        <v>12995</v>
      </c>
      <c r="Y277" s="2" t="n">
        <v>3775</v>
      </c>
      <c r="AA277" s="2" t="n">
        <v>233.89</v>
      </c>
      <c r="AB277" s="2" t="n">
        <v>27.2</v>
      </c>
      <c r="AC277" s="2" t="n">
        <v>74.93000000000001</v>
      </c>
      <c r="AD277" s="2" t="n">
        <v>403.8</v>
      </c>
      <c r="AE277" s="2" t="n">
        <v>208.67</v>
      </c>
      <c r="AF277" s="2" t="n">
        <v>118053.9</v>
      </c>
      <c r="AG277" s="2" t="n">
        <v>3796.91</v>
      </c>
    </row>
    <row r="278" ht="16" customHeight="1">
      <c r="A278" s="2" t="inlineStr">
        <is>
          <t>07/27/2025</t>
        </is>
      </c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>
        <v>1363</v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AA278" s="2" t="n"/>
      <c r="AB278" s="2" t="n"/>
      <c r="AC278" s="2" t="n"/>
      <c r="AD278" s="2" t="n"/>
      <c r="AE278" s="2" t="n"/>
      <c r="AF278" s="2" t="n">
        <v>119398.1</v>
      </c>
      <c r="AG278" s="2" t="n">
        <v>3871.74</v>
      </c>
    </row>
    <row r="279" ht="16" customHeight="1">
      <c r="A279" s="2" t="inlineStr">
        <is>
          <t>07/26/2025</t>
        </is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>
        <v>1365</v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AA279" s="2" t="n"/>
      <c r="AB279" s="2" t="n"/>
      <c r="AC279" s="2" t="n"/>
      <c r="AD279" s="2" t="n"/>
      <c r="AE279" s="2" t="n"/>
      <c r="AF279" s="2" t="n">
        <v>117917.6</v>
      </c>
      <c r="AG279" s="2" t="n">
        <v>3740.86</v>
      </c>
    </row>
    <row r="280" ht="16" customHeight="1">
      <c r="A280" s="2" t="inlineStr">
        <is>
          <t>07/25/2025</t>
        </is>
      </c>
      <c r="B280" s="2" t="n">
        <v>110845</v>
      </c>
      <c r="C280" s="2" t="n">
        <v>1075365</v>
      </c>
      <c r="D280" s="2" t="n">
        <v>1049465</v>
      </c>
      <c r="E280" s="2" t="n">
        <v>100.66</v>
      </c>
      <c r="F280" s="2" t="n">
        <v>107.9</v>
      </c>
      <c r="G280" s="2" t="n"/>
      <c r="H280" s="2" t="n">
        <v>85.75</v>
      </c>
      <c r="I280" s="2" t="n">
        <v>110.5</v>
      </c>
      <c r="J280" s="2" t="n">
        <v>1364</v>
      </c>
      <c r="K280" s="2" t="n">
        <v>1383.64</v>
      </c>
      <c r="L280" s="2" t="n">
        <v>20925</v>
      </c>
      <c r="M280" s="2" t="n">
        <v>9955</v>
      </c>
      <c r="N280" s="2" t="n">
        <v>9325</v>
      </c>
      <c r="O280" s="2" t="n"/>
      <c r="P280" s="2" t="n">
        <v>55.08</v>
      </c>
      <c r="Q280" s="2" t="n">
        <v>50.03</v>
      </c>
      <c r="R280" s="2" t="n">
        <v>12525</v>
      </c>
      <c r="S280" s="2" t="n">
        <v>13765</v>
      </c>
      <c r="T280" s="2" t="n">
        <v>22100</v>
      </c>
      <c r="U280" s="2" t="n">
        <v>24275</v>
      </c>
      <c r="V280" s="2" t="n">
        <v>20130</v>
      </c>
      <c r="W280" s="2" t="n">
        <v>21415</v>
      </c>
      <c r="X280" s="2" t="n">
        <v>12930</v>
      </c>
      <c r="Y280" s="2" t="n">
        <v>3820</v>
      </c>
      <c r="AA280" s="2" t="n">
        <v>233.14</v>
      </c>
      <c r="AB280" s="2" t="n">
        <v>27.32</v>
      </c>
      <c r="AC280" s="2" t="n">
        <v>74.93000000000001</v>
      </c>
      <c r="AD280" s="2" t="n">
        <v>405.89</v>
      </c>
      <c r="AE280" s="2" t="n">
        <v>209.14</v>
      </c>
      <c r="AF280" s="2" t="n">
        <v>117631.9</v>
      </c>
      <c r="AG280" s="2" t="n">
        <v>3725.01</v>
      </c>
    </row>
    <row r="281" ht="16" customHeight="1">
      <c r="A281" s="2" t="inlineStr">
        <is>
          <t>07/24/2025</t>
        </is>
      </c>
      <c r="B281" s="2" t="n">
        <v>110820</v>
      </c>
      <c r="C281" s="2" t="n">
        <v>1075290</v>
      </c>
      <c r="D281" s="2" t="n">
        <v>1049370</v>
      </c>
      <c r="E281" s="2" t="n">
        <v>100.64</v>
      </c>
      <c r="F281" s="2" t="n">
        <v>111.4</v>
      </c>
      <c r="G281" s="2" t="n"/>
      <c r="H281" s="2" t="n">
        <v>87.77</v>
      </c>
      <c r="I281" s="2" t="n">
        <v>112.9</v>
      </c>
      <c r="J281" s="2" t="n">
        <v>1362</v>
      </c>
      <c r="K281" s="2" t="n">
        <v>1372.88</v>
      </c>
      <c r="L281" s="2" t="n">
        <v>20900</v>
      </c>
      <c r="M281" s="2" t="n">
        <v>9870</v>
      </c>
      <c r="N281" s="2" t="n">
        <v>9255</v>
      </c>
      <c r="O281" s="2" t="n"/>
      <c r="P281" s="2" t="n">
        <v>54.79</v>
      </c>
      <c r="Q281" s="2" t="n">
        <v>50.03</v>
      </c>
      <c r="R281" s="2" t="n">
        <v>12610</v>
      </c>
      <c r="S281" s="2" t="n">
        <v>13895</v>
      </c>
      <c r="T281" s="2" t="n">
        <v>21880</v>
      </c>
      <c r="U281" s="2" t="n">
        <v>24195</v>
      </c>
      <c r="V281" s="2" t="n">
        <v>19935</v>
      </c>
      <c r="W281" s="2" t="n">
        <v>21215</v>
      </c>
      <c r="X281" s="2" t="n">
        <v>12820</v>
      </c>
      <c r="Y281" s="2" t="n">
        <v>3835</v>
      </c>
      <c r="AA281" s="2" t="n">
        <v>232.59</v>
      </c>
      <c r="AB281" s="2" t="n">
        <v>27.28</v>
      </c>
      <c r="AC281" s="2" t="n">
        <v>74.65000000000001</v>
      </c>
      <c r="AD281" s="2" t="n">
        <v>414.92</v>
      </c>
      <c r="AE281" s="2" t="n">
        <v>208.1</v>
      </c>
      <c r="AF281" s="2" t="n">
        <v>118310.9</v>
      </c>
      <c r="AG281" s="2" t="n">
        <v>3704.21</v>
      </c>
    </row>
    <row r="282" ht="16" customHeight="1">
      <c r="A282" s="2" t="inlineStr">
        <is>
          <t>07/23/2025</t>
        </is>
      </c>
      <c r="B282" s="2" t="n">
        <v>110810</v>
      </c>
      <c r="C282" s="2" t="n">
        <v>1075075</v>
      </c>
      <c r="D282" s="2" t="n">
        <v>1049160</v>
      </c>
      <c r="E282" s="2" t="n">
        <v>100.63</v>
      </c>
      <c r="F282" s="2" t="n">
        <v>114.24</v>
      </c>
      <c r="G282" s="2" t="n"/>
      <c r="H282" s="2" t="n">
        <v>88.90000000000001</v>
      </c>
      <c r="I282" s="2" t="n">
        <v>115.91</v>
      </c>
      <c r="J282" s="2" t="n">
        <v>1365</v>
      </c>
      <c r="K282" s="2" t="n">
        <v>1374.88</v>
      </c>
      <c r="L282" s="2" t="n">
        <v>21335</v>
      </c>
      <c r="M282" s="2" t="n">
        <v>9990</v>
      </c>
      <c r="N282" s="2" t="n">
        <v>9330</v>
      </c>
      <c r="O282" s="2" t="n"/>
      <c r="P282" s="2" t="n">
        <v>54.86</v>
      </c>
      <c r="Q282" s="2" t="n">
        <v>50.02</v>
      </c>
      <c r="R282" s="2" t="n">
        <v>12585</v>
      </c>
      <c r="S282" s="2" t="n">
        <v>13935</v>
      </c>
      <c r="T282" s="2" t="n">
        <v>21940</v>
      </c>
      <c r="U282" s="2" t="n">
        <v>24235</v>
      </c>
      <c r="V282" s="2" t="n">
        <v>19985</v>
      </c>
      <c r="W282" s="2" t="n">
        <v>21290</v>
      </c>
      <c r="X282" s="2" t="n">
        <v>12930</v>
      </c>
      <c r="Y282" s="2" t="n">
        <v>3870</v>
      </c>
      <c r="AA282" s="2" t="n">
        <v>232.1</v>
      </c>
      <c r="AB282" s="2" t="n">
        <v>27.38</v>
      </c>
      <c r="AC282" s="2" t="n">
        <v>74.59</v>
      </c>
      <c r="AD282" s="2" t="n">
        <v>412.67</v>
      </c>
      <c r="AE282" s="2" t="n">
        <v>208.32</v>
      </c>
      <c r="AF282" s="2" t="n">
        <v>118763</v>
      </c>
      <c r="AG282" s="2" t="n">
        <v>3626.81</v>
      </c>
    </row>
    <row r="283" ht="16" customHeight="1">
      <c r="A283" s="2" t="inlineStr">
        <is>
          <t>07/22/2025</t>
        </is>
      </c>
      <c r="B283" s="2" t="n">
        <v>110800</v>
      </c>
      <c r="C283" s="2" t="n">
        <v>1075000</v>
      </c>
      <c r="D283" s="2" t="n">
        <v>1049090</v>
      </c>
      <c r="E283" s="2" t="n">
        <v>100.62</v>
      </c>
      <c r="F283" s="2" t="n">
        <v>114.46</v>
      </c>
      <c r="G283" s="2" t="n"/>
      <c r="H283" s="2" t="n">
        <v>90.90000000000001</v>
      </c>
      <c r="I283" s="2" t="n">
        <v>119</v>
      </c>
      <c r="J283" s="2" t="n">
        <v>1356</v>
      </c>
      <c r="K283" s="2" t="n">
        <v>1380.77</v>
      </c>
      <c r="L283" s="2" t="n">
        <v>21220</v>
      </c>
      <c r="M283" s="2" t="n">
        <v>10020</v>
      </c>
      <c r="N283" s="2" t="n">
        <v>9355</v>
      </c>
      <c r="O283" s="2" t="n"/>
      <c r="P283" s="2" t="n">
        <v>55.14</v>
      </c>
      <c r="Q283" s="2" t="n">
        <v>50.13</v>
      </c>
      <c r="R283" s="2" t="n">
        <v>12360</v>
      </c>
      <c r="S283" s="2" t="n">
        <v>13840</v>
      </c>
      <c r="T283" s="2" t="n">
        <v>21990</v>
      </c>
      <c r="U283" s="2" t="n">
        <v>24150</v>
      </c>
      <c r="V283" s="2" t="n">
        <v>20030</v>
      </c>
      <c r="W283" s="2" t="n">
        <v>21455</v>
      </c>
      <c r="X283" s="2" t="n">
        <v>12965</v>
      </c>
      <c r="Y283" s="2" t="n">
        <v>3890</v>
      </c>
      <c r="AA283" s="2" t="n">
        <v>231.05</v>
      </c>
      <c r="AB283" s="2" t="n">
        <v>27.24</v>
      </c>
      <c r="AC283" s="2" t="n">
        <v>73.98</v>
      </c>
      <c r="AD283" s="2" t="n">
        <v>426.4</v>
      </c>
      <c r="AE283" s="2" t="n">
        <v>206.96</v>
      </c>
      <c r="AF283" s="2" t="n">
        <v>119965.5</v>
      </c>
      <c r="AG283" s="2" t="n">
        <v>3745.84</v>
      </c>
    </row>
    <row r="284" ht="16" customHeight="1">
      <c r="A284" s="2" t="inlineStr">
        <is>
          <t>07/21/2025</t>
        </is>
      </c>
      <c r="B284" s="2" t="n">
        <v>110795</v>
      </c>
      <c r="C284" s="2" t="n">
        <v>1074925</v>
      </c>
      <c r="D284" s="2" t="n">
        <v>1049015</v>
      </c>
      <c r="E284" s="2" t="n">
        <v>100.6</v>
      </c>
      <c r="F284" s="2" t="n">
        <v>117.59</v>
      </c>
      <c r="G284" s="2" t="n"/>
      <c r="H284" s="2" t="n">
        <v>93.23999999999999</v>
      </c>
      <c r="I284" s="2" t="n">
        <v>119</v>
      </c>
      <c r="J284" s="2" t="n">
        <v>1364</v>
      </c>
      <c r="K284" s="2" t="n">
        <v>1382.8</v>
      </c>
      <c r="L284" s="2" t="n">
        <v>21135</v>
      </c>
      <c r="M284" s="2" t="n"/>
      <c r="N284" s="2" t="n">
        <v>9345</v>
      </c>
      <c r="O284" s="2" t="n"/>
      <c r="P284" s="2" t="n">
        <v>54.84</v>
      </c>
      <c r="Q284" s="2" t="n">
        <v>50.11</v>
      </c>
      <c r="R284" s="2" t="n">
        <v>12365</v>
      </c>
      <c r="S284" s="2" t="n">
        <v>14045</v>
      </c>
      <c r="T284" s="2" t="n">
        <v>22030</v>
      </c>
      <c r="U284" s="2" t="n">
        <v>24475</v>
      </c>
      <c r="V284" s="2" t="n">
        <v>20060</v>
      </c>
      <c r="W284" s="2" t="n">
        <v>21460</v>
      </c>
      <c r="X284" s="2" t="n">
        <v>12980</v>
      </c>
      <c r="Y284" s="2" t="n">
        <v>3945</v>
      </c>
      <c r="AA284" s="2" t="n">
        <v>232.22</v>
      </c>
      <c r="AB284" s="2" t="n">
        <v>26.95</v>
      </c>
      <c r="AC284" s="2" t="n">
        <v>73.95999999999999</v>
      </c>
      <c r="AD284" s="2" t="n">
        <v>426.28</v>
      </c>
      <c r="AE284" s="2" t="n">
        <v>206.17</v>
      </c>
      <c r="AF284" s="2" t="n">
        <v>117388.1</v>
      </c>
      <c r="AG284" s="2" t="n">
        <v>3761.37</v>
      </c>
    </row>
    <row r="285" ht="16" customHeight="1">
      <c r="A285" s="2" t="inlineStr">
        <is>
          <t>07/20/2025</t>
        </is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>
        <v>1365</v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AA285" s="2" t="n"/>
      <c r="AB285" s="2" t="n"/>
      <c r="AC285" s="2" t="n"/>
      <c r="AD285" s="2" t="n"/>
      <c r="AE285" s="2" t="n"/>
      <c r="AF285" s="2" t="n">
        <v>117297.2</v>
      </c>
      <c r="AG285" s="2" t="n">
        <v>3757.32</v>
      </c>
    </row>
    <row r="286" ht="16" customHeight="1">
      <c r="A286" s="2" t="inlineStr">
        <is>
          <t>07/19/2025</t>
        </is>
      </c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>
        <v>1371</v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AA286" s="2" t="n"/>
      <c r="AB286" s="2" t="n"/>
      <c r="AC286" s="2" t="n"/>
      <c r="AD286" s="2" t="n"/>
      <c r="AE286" s="2" t="n"/>
      <c r="AF286" s="2" t="n">
        <v>117848.4</v>
      </c>
      <c r="AG286" s="2" t="n">
        <v>3591.98</v>
      </c>
    </row>
    <row r="287" ht="16" customHeight="1">
      <c r="A287" s="2" t="inlineStr">
        <is>
          <t>07/18/2025</t>
        </is>
      </c>
      <c r="B287" s="2" t="n">
        <v>110790</v>
      </c>
      <c r="C287" s="2" t="n">
        <v>1074850</v>
      </c>
      <c r="D287" s="2" t="n">
        <v>1048930</v>
      </c>
      <c r="E287" s="2" t="n">
        <v>100.59</v>
      </c>
      <c r="F287" s="2" t="n">
        <v>118.17</v>
      </c>
      <c r="G287" s="2" t="n"/>
      <c r="H287" s="2" t="n">
        <v>93.2</v>
      </c>
      <c r="I287" s="2" t="n">
        <v>119.14</v>
      </c>
      <c r="J287" s="2" t="n">
        <v>1367</v>
      </c>
      <c r="K287" s="2" t="n">
        <v>1391.2</v>
      </c>
      <c r="L287" s="2" t="n">
        <v>21010</v>
      </c>
      <c r="M287" s="2" t="n"/>
      <c r="N287" s="2" t="n">
        <v>9345</v>
      </c>
      <c r="O287" s="2" t="n"/>
      <c r="P287" s="2" t="n">
        <v>54.41</v>
      </c>
      <c r="Q287" s="2" t="n">
        <v>50.07</v>
      </c>
      <c r="R287" s="2" t="n">
        <v>12430</v>
      </c>
      <c r="S287" s="2" t="n">
        <v>14065</v>
      </c>
      <c r="T287" s="2" t="n">
        <v>22110</v>
      </c>
      <c r="U287" s="2" t="n">
        <v>24290</v>
      </c>
      <c r="V287" s="2" t="n">
        <v>20135</v>
      </c>
      <c r="W287" s="2" t="n">
        <v>21520</v>
      </c>
      <c r="X287" s="2" t="n">
        <v>13015</v>
      </c>
      <c r="Y287" s="2" t="n">
        <v>3995</v>
      </c>
      <c r="AA287" s="2" t="n">
        <v>231.05</v>
      </c>
      <c r="AB287" s="2" t="n">
        <v>27.02</v>
      </c>
      <c r="AC287" s="2" t="n">
        <v>73.84</v>
      </c>
      <c r="AD287" s="2" t="n">
        <v>423.22</v>
      </c>
      <c r="AE287" s="2" t="n">
        <v>206.1</v>
      </c>
      <c r="AF287" s="2" t="n">
        <v>117940.3</v>
      </c>
      <c r="AG287" s="2" t="n">
        <v>3545.58</v>
      </c>
    </row>
    <row r="288" ht="16" customHeight="1">
      <c r="A288" s="2" t="inlineStr">
        <is>
          <t>07/17/2025</t>
        </is>
      </c>
      <c r="B288" s="2" t="n">
        <v>110765</v>
      </c>
      <c r="C288" s="2" t="n">
        <v>1074775</v>
      </c>
      <c r="D288" s="2" t="n">
        <v>1048835</v>
      </c>
      <c r="E288" s="2" t="n">
        <v>100.56</v>
      </c>
      <c r="F288" s="2" t="n">
        <v>121.37</v>
      </c>
      <c r="G288" s="2" t="n"/>
      <c r="H288" s="2" t="n">
        <v>93.97</v>
      </c>
      <c r="I288" s="2" t="n">
        <v>121.2</v>
      </c>
      <c r="J288" s="2" t="n">
        <v>1362</v>
      </c>
      <c r="K288" s="2" t="n">
        <v>1391.99</v>
      </c>
      <c r="L288" s="2" t="n">
        <v>20980</v>
      </c>
      <c r="M288" s="2" t="n"/>
      <c r="N288" s="2" t="n">
        <v>9265</v>
      </c>
      <c r="O288" s="2" t="n"/>
      <c r="P288" s="2" t="n">
        <v>54.29</v>
      </c>
      <c r="Q288" s="2" t="n">
        <v>50.03</v>
      </c>
      <c r="R288" s="2" t="n">
        <v>12390</v>
      </c>
      <c r="S288" s="2" t="n">
        <v>13930</v>
      </c>
      <c r="T288" s="2" t="n">
        <v>21945</v>
      </c>
      <c r="U288" s="2" t="n">
        <v>24315</v>
      </c>
      <c r="V288" s="2" t="n">
        <v>19990</v>
      </c>
      <c r="W288" s="2" t="n">
        <v>21355</v>
      </c>
      <c r="X288" s="2" t="n">
        <v>12965</v>
      </c>
      <c r="Y288" s="2" t="n">
        <v>4040</v>
      </c>
      <c r="AA288" s="2" t="n">
        <v>231.25</v>
      </c>
      <c r="AB288" s="2" t="n">
        <v>27.14</v>
      </c>
      <c r="AC288" s="2" t="n">
        <v>73.86</v>
      </c>
      <c r="AD288" s="2" t="n">
        <v>451.34</v>
      </c>
      <c r="AE288" s="2" t="n">
        <v>206.63</v>
      </c>
      <c r="AF288" s="2" t="n">
        <v>119194.9</v>
      </c>
      <c r="AG288" s="2" t="n">
        <v>3472.9</v>
      </c>
    </row>
    <row r="289" ht="16" customHeight="1">
      <c r="A289" s="2" t="inlineStr">
        <is>
          <t>07/16/2025</t>
        </is>
      </c>
      <c r="B289" s="2" t="n">
        <v>110755</v>
      </c>
      <c r="C289" s="2" t="n">
        <v>1074555</v>
      </c>
      <c r="D289" s="2" t="n">
        <v>1048645</v>
      </c>
      <c r="E289" s="2" t="n">
        <v>100.55</v>
      </c>
      <c r="F289" s="2" t="n">
        <v>119.39</v>
      </c>
      <c r="G289" s="2" t="n"/>
      <c r="H289" s="2" t="n">
        <v>93.7</v>
      </c>
      <c r="I289" s="2" t="n">
        <v>118.87</v>
      </c>
      <c r="J289" s="2" t="n">
        <v>1361</v>
      </c>
      <c r="K289" s="2" t="n">
        <v>1387.27</v>
      </c>
      <c r="L289" s="2" t="n">
        <v>20945</v>
      </c>
      <c r="M289" s="2" t="n"/>
      <c r="N289" s="2" t="n">
        <v>9275</v>
      </c>
      <c r="O289" s="2" t="n"/>
      <c r="P289" s="2" t="n">
        <v>54.31</v>
      </c>
      <c r="Q289" s="2" t="n">
        <v>50.01</v>
      </c>
      <c r="R289" s="2" t="n">
        <v>12320</v>
      </c>
      <c r="S289" s="2" t="n">
        <v>13700</v>
      </c>
      <c r="T289" s="2" t="n">
        <v>21700</v>
      </c>
      <c r="U289" s="2" t="n">
        <v>24250</v>
      </c>
      <c r="V289" s="2" t="n">
        <v>19765</v>
      </c>
      <c r="W289" s="2" t="n">
        <v>21120</v>
      </c>
      <c r="X289" s="2" t="n">
        <v>12895</v>
      </c>
      <c r="Y289" s="2" t="n">
        <v>3950</v>
      </c>
      <c r="AA289" s="2" t="n">
        <v>229.42</v>
      </c>
      <c r="AB289" s="2" t="n">
        <v>26.93</v>
      </c>
      <c r="AC289" s="2" t="n">
        <v>73.43000000000001</v>
      </c>
      <c r="AD289" s="2" t="n">
        <v>455.9</v>
      </c>
      <c r="AE289" s="2" t="n">
        <v>205.42</v>
      </c>
      <c r="AF289" s="2" t="n">
        <v>118683.2</v>
      </c>
      <c r="AG289" s="2" t="n">
        <v>3373.85</v>
      </c>
    </row>
    <row r="290" ht="16" customHeight="1">
      <c r="A290" s="2" t="inlineStr">
        <is>
          <t>07/15/2025</t>
        </is>
      </c>
      <c r="B290" s="2" t="n">
        <v>110750</v>
      </c>
      <c r="C290" s="2" t="n">
        <v>1074480</v>
      </c>
      <c r="D290" s="2" t="n">
        <v>1048555</v>
      </c>
      <c r="E290" s="2" t="n">
        <v>100.52</v>
      </c>
      <c r="F290" s="2" t="n">
        <v>118.78</v>
      </c>
      <c r="G290" s="2" t="n"/>
      <c r="H290" s="2" t="n">
        <v>93.28</v>
      </c>
      <c r="I290" s="2" t="n">
        <v>117</v>
      </c>
      <c r="J290" s="2" t="n">
        <v>1366</v>
      </c>
      <c r="K290" s="2" t="n">
        <v>1386.53</v>
      </c>
      <c r="L290" s="2" t="n">
        <v>20985</v>
      </c>
      <c r="M290" s="2" t="n"/>
      <c r="N290" s="2" t="n">
        <v>9285</v>
      </c>
      <c r="O290" s="2" t="n"/>
      <c r="P290" s="2" t="n">
        <v>54.21</v>
      </c>
      <c r="Q290" s="2" t="n">
        <v>49.91</v>
      </c>
      <c r="R290" s="2" t="n">
        <v>12455</v>
      </c>
      <c r="S290" s="2" t="n">
        <v>13675</v>
      </c>
      <c r="T290" s="2" t="n">
        <v>21820</v>
      </c>
      <c r="U290" s="2" t="n">
        <v>24495</v>
      </c>
      <c r="V290" s="2" t="n">
        <v>19870</v>
      </c>
      <c r="W290" s="2" t="n">
        <v>21160</v>
      </c>
      <c r="X290" s="2" t="n">
        <v>12890</v>
      </c>
      <c r="Y290" s="2" t="n">
        <v>3990</v>
      </c>
      <c r="AA290" s="2" t="n">
        <v>229.17</v>
      </c>
      <c r="AB290" s="2" t="n">
        <v>26.87</v>
      </c>
      <c r="AC290" s="2" t="n">
        <v>73.18000000000001</v>
      </c>
      <c r="AD290" s="2" t="n">
        <v>442.31</v>
      </c>
      <c r="AE290" s="2" t="n">
        <v>204.34</v>
      </c>
      <c r="AF290" s="2" t="n">
        <v>117762.3</v>
      </c>
      <c r="AG290" s="2" t="n">
        <v>3138.89</v>
      </c>
    </row>
    <row r="291" ht="16" customHeight="1">
      <c r="A291" s="2" t="inlineStr">
        <is>
          <t>07/14/2025</t>
        </is>
      </c>
      <c r="B291" s="2" t="n">
        <v>110740</v>
      </c>
      <c r="C291" s="2" t="n">
        <v>1074405</v>
      </c>
      <c r="D291" s="2" t="n">
        <v>1048475</v>
      </c>
      <c r="E291" s="2" t="n">
        <v>100.51</v>
      </c>
      <c r="F291" s="2" t="n">
        <v>118.53</v>
      </c>
      <c r="G291" s="2" t="n"/>
      <c r="H291" s="2" t="n">
        <v>93.94</v>
      </c>
      <c r="I291" s="2" t="n">
        <v>118.51</v>
      </c>
      <c r="J291" s="2" t="n">
        <v>1368</v>
      </c>
      <c r="K291" s="2" t="n">
        <v>1382.52</v>
      </c>
      <c r="L291" s="2" t="n">
        <v>20955</v>
      </c>
      <c r="M291" s="2" t="n"/>
      <c r="N291" s="2" t="n">
        <v>9290</v>
      </c>
      <c r="O291" s="2" t="n"/>
      <c r="P291" s="2" t="n">
        <v>54.58</v>
      </c>
      <c r="Q291" s="2" t="n">
        <v>49.94</v>
      </c>
      <c r="R291" s="2" t="n">
        <v>12345</v>
      </c>
      <c r="S291" s="2" t="n">
        <v>13350</v>
      </c>
      <c r="T291" s="2" t="n">
        <v>21605</v>
      </c>
      <c r="U291" s="2" t="n">
        <v>24340</v>
      </c>
      <c r="V291" s="2" t="n">
        <v>19685</v>
      </c>
      <c r="W291" s="2" t="n">
        <v>20900</v>
      </c>
      <c r="X291" s="2" t="n">
        <v>12845</v>
      </c>
      <c r="Y291" s="2" t="n">
        <v>3965</v>
      </c>
      <c r="AA291" s="2" t="n">
        <v>228.94</v>
      </c>
      <c r="AB291" s="2" t="n">
        <v>27.31</v>
      </c>
      <c r="AC291" s="2" t="n">
        <v>73.5</v>
      </c>
      <c r="AD291" s="2" t="n">
        <v>451.02</v>
      </c>
      <c r="AE291" s="2" t="n">
        <v>206.28</v>
      </c>
      <c r="AF291" s="2" t="n">
        <v>119849.5</v>
      </c>
      <c r="AG291" s="2" t="n">
        <v>3013.63</v>
      </c>
    </row>
    <row r="292" ht="16" customHeight="1">
      <c r="A292" s="2" t="inlineStr">
        <is>
          <t>07/13/2025</t>
        </is>
      </c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>
        <v>1358</v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AA292" s="2" t="n"/>
      <c r="AB292" s="2" t="n"/>
      <c r="AC292" s="2" t="n"/>
      <c r="AD292" s="2" t="n"/>
      <c r="AE292" s="2" t="n"/>
      <c r="AF292" s="2" t="n">
        <v>119090.6</v>
      </c>
      <c r="AG292" s="2" t="n">
        <v>2971.67</v>
      </c>
    </row>
    <row r="293" ht="16" customHeight="1">
      <c r="A293" s="2" t="inlineStr">
        <is>
          <t>07/12/2025</t>
        </is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>
        <v>1360</v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AA293" s="2" t="n"/>
      <c r="AB293" s="2" t="n"/>
      <c r="AC293" s="2" t="n"/>
      <c r="AD293" s="2" t="n"/>
      <c r="AE293" s="2" t="n"/>
      <c r="AF293" s="2" t="n">
        <v>117419.5</v>
      </c>
      <c r="AG293" s="2" t="n">
        <v>2942.36</v>
      </c>
    </row>
    <row r="294" ht="16" customHeight="1">
      <c r="A294" s="2" t="inlineStr">
        <is>
          <t>07/11/2025</t>
        </is>
      </c>
      <c r="B294" s="2" t="n">
        <v>110735</v>
      </c>
      <c r="C294" s="2" t="n">
        <v>1074330</v>
      </c>
      <c r="D294" s="2" t="n">
        <v>1048425</v>
      </c>
      <c r="E294" s="2" t="n">
        <v>100.51</v>
      </c>
      <c r="F294" s="2" t="n">
        <v>122.5</v>
      </c>
      <c r="G294" s="2" t="n"/>
      <c r="H294" s="2" t="n">
        <v>95</v>
      </c>
      <c r="I294" s="2" t="n">
        <v>122.38</v>
      </c>
      <c r="J294" s="2" t="n">
        <v>1347</v>
      </c>
      <c r="K294" s="2" t="n">
        <v>1379.16</v>
      </c>
      <c r="L294" s="2" t="n">
        <v>20790</v>
      </c>
      <c r="M294" s="2" t="n"/>
      <c r="N294" s="2" t="n">
        <v>9380</v>
      </c>
      <c r="O294" s="2" t="n"/>
      <c r="P294" s="2" t="n">
        <v>54.66</v>
      </c>
      <c r="Q294" s="2" t="n">
        <v>49.92</v>
      </c>
      <c r="R294" s="2" t="n">
        <v>12310</v>
      </c>
      <c r="S294" s="2" t="n">
        <v>13330</v>
      </c>
      <c r="T294" s="2" t="n">
        <v>21660</v>
      </c>
      <c r="U294" s="2" t="n">
        <v>24110</v>
      </c>
      <c r="V294" s="2" t="n">
        <v>19730</v>
      </c>
      <c r="W294" s="2" t="n">
        <v>20935</v>
      </c>
      <c r="X294" s="2" t="n">
        <v>12830</v>
      </c>
      <c r="Y294" s="2" t="n">
        <v>4010</v>
      </c>
      <c r="AA294" s="2" t="n">
        <v>228.13</v>
      </c>
      <c r="AB294" s="2" t="n">
        <v>27.33</v>
      </c>
      <c r="AC294" s="2" t="n">
        <v>73.34999999999999</v>
      </c>
      <c r="AD294" s="2" t="n">
        <v>434.58</v>
      </c>
      <c r="AE294" s="2" t="n">
        <v>205.93</v>
      </c>
      <c r="AF294" s="2" t="n">
        <v>117535.6</v>
      </c>
      <c r="AG294" s="2" t="n">
        <v>2957.71</v>
      </c>
    </row>
    <row r="295" ht="16" customHeight="1">
      <c r="A295" s="2" t="inlineStr">
        <is>
          <t>07/10/2025</t>
        </is>
      </c>
      <c r="B295" s="2" t="n">
        <v>110710</v>
      </c>
      <c r="C295" s="2" t="n">
        <v>1074255</v>
      </c>
      <c r="D295" s="2" t="n">
        <v>1048345</v>
      </c>
      <c r="E295" s="2" t="n">
        <v>100.47</v>
      </c>
      <c r="F295" s="2" t="n">
        <v>125.75</v>
      </c>
      <c r="G295" s="2" t="n"/>
      <c r="H295" s="2" t="n">
        <v>94.84999999999999</v>
      </c>
      <c r="I295" s="2" t="n">
        <v>126.48</v>
      </c>
      <c r="J295" s="2" t="n">
        <v>1350</v>
      </c>
      <c r="K295" s="2" t="n">
        <v>1371.73</v>
      </c>
      <c r="L295" s="2" t="n">
        <v>20670</v>
      </c>
      <c r="M295" s="2" t="n"/>
      <c r="N295" s="2" t="n">
        <v>9360</v>
      </c>
      <c r="O295" s="2" t="n"/>
      <c r="P295" s="2" t="n">
        <v>55.36</v>
      </c>
      <c r="Q295" s="2" t="n">
        <v>49.88</v>
      </c>
      <c r="R295" s="2" t="n">
        <v>12280</v>
      </c>
      <c r="S295" s="2" t="n">
        <v>13315</v>
      </c>
      <c r="T295" s="2" t="n">
        <v>21515</v>
      </c>
      <c r="U295" s="2" t="n">
        <v>24105</v>
      </c>
      <c r="V295" s="2" t="n">
        <v>19600</v>
      </c>
      <c r="W295" s="2" t="n">
        <v>20875</v>
      </c>
      <c r="X295" s="2" t="n">
        <v>12770</v>
      </c>
      <c r="Y295" s="2" t="n">
        <v>3970</v>
      </c>
      <c r="AA295" s="2" t="n">
        <v>228.63</v>
      </c>
      <c r="AB295" s="2" t="n">
        <v>27.51</v>
      </c>
      <c r="AC295" s="2" t="n">
        <v>73.63</v>
      </c>
      <c r="AD295" s="2" t="n">
        <v>421.74</v>
      </c>
      <c r="AE295" s="2" t="n">
        <v>207.25</v>
      </c>
      <c r="AF295" s="2" t="n">
        <v>115993.6</v>
      </c>
      <c r="AG295" s="2" t="n">
        <v>2951.2</v>
      </c>
    </row>
    <row r="296" ht="16" customHeight="1">
      <c r="A296" s="2" t="inlineStr">
        <is>
          <t>07/09/2025</t>
        </is>
      </c>
      <c r="B296" s="2" t="n">
        <v>110700</v>
      </c>
      <c r="C296" s="2" t="n">
        <v>1074045</v>
      </c>
      <c r="D296" s="2" t="n">
        <v>1048125</v>
      </c>
      <c r="E296" s="2" t="n">
        <v>100.45</v>
      </c>
      <c r="F296" s="2" t="n">
        <v>124.5</v>
      </c>
      <c r="G296" s="2" t="n"/>
      <c r="H296" s="2" t="n">
        <v>94.12</v>
      </c>
      <c r="I296" s="2" t="n">
        <v>125.45</v>
      </c>
      <c r="J296" s="2" t="n">
        <v>1358</v>
      </c>
      <c r="K296" s="2" t="n">
        <v>1374.07</v>
      </c>
      <c r="L296" s="2" t="n">
        <v>20505</v>
      </c>
      <c r="M296" s="2" t="n"/>
      <c r="N296" s="2" t="n">
        <v>9305</v>
      </c>
      <c r="O296" s="2" t="n"/>
      <c r="P296" s="2" t="n">
        <v>55.31</v>
      </c>
      <c r="Q296" s="2" t="n">
        <v>49.88</v>
      </c>
      <c r="R296" s="2" t="n">
        <v>12310</v>
      </c>
      <c r="S296" s="2" t="n">
        <v>13080</v>
      </c>
      <c r="T296" s="2" t="n">
        <v>21490</v>
      </c>
      <c r="U296" s="2" t="n">
        <v>23775</v>
      </c>
      <c r="V296" s="2" t="n">
        <v>19575</v>
      </c>
      <c r="W296" s="2" t="n">
        <v>20810</v>
      </c>
      <c r="X296" s="2" t="n">
        <v>12765</v>
      </c>
      <c r="Y296" s="2" t="n">
        <v>3935</v>
      </c>
      <c r="AA296" s="2" t="n">
        <v>228.97</v>
      </c>
      <c r="AB296" s="2" t="n">
        <v>27.29</v>
      </c>
      <c r="AC296" s="2" t="n">
        <v>73.41</v>
      </c>
      <c r="AD296" s="2" t="n">
        <v>415.41</v>
      </c>
      <c r="AE296" s="2" t="n">
        <v>206.78</v>
      </c>
      <c r="AF296" s="2" t="n">
        <v>111246</v>
      </c>
      <c r="AG296" s="2" t="n">
        <v>2768.27</v>
      </c>
    </row>
    <row r="297" ht="16" customHeight="1">
      <c r="A297" s="2" t="inlineStr">
        <is>
          <t>07/08/2025</t>
        </is>
      </c>
      <c r="B297" s="2" t="n">
        <v>110695</v>
      </c>
      <c r="C297" s="2" t="n">
        <v>1073970</v>
      </c>
      <c r="D297" s="2" t="n">
        <v>1048050</v>
      </c>
      <c r="E297" s="2" t="n">
        <v>100.46</v>
      </c>
      <c r="F297" s="2" t="n">
        <v>123</v>
      </c>
      <c r="G297" s="2" t="n"/>
      <c r="H297" s="2" t="n">
        <v>92.8</v>
      </c>
      <c r="I297" s="2" t="n">
        <v>122.4</v>
      </c>
      <c r="J297" s="2" t="n">
        <v>1362</v>
      </c>
      <c r="K297" s="2" t="n">
        <v>1370.15</v>
      </c>
      <c r="L297" s="2" t="n">
        <v>20675</v>
      </c>
      <c r="M297" s="2" t="n"/>
      <c r="N297" s="2" t="n">
        <v>9270</v>
      </c>
      <c r="O297" s="2" t="n"/>
      <c r="P297" s="2" t="n">
        <v>54.78</v>
      </c>
      <c r="Q297" s="2" t="n">
        <v>49.84</v>
      </c>
      <c r="R297" s="2" t="n">
        <v>12340</v>
      </c>
      <c r="S297" s="2" t="n">
        <v>13020</v>
      </c>
      <c r="T297" s="2" t="n">
        <v>21445</v>
      </c>
      <c r="U297" s="2" t="n">
        <v>23715</v>
      </c>
      <c r="V297" s="2" t="n">
        <v>19530</v>
      </c>
      <c r="W297" s="2" t="n">
        <v>20785</v>
      </c>
      <c r="X297" s="2" t="n">
        <v>12735</v>
      </c>
      <c r="Y297" s="2" t="n">
        <v>3890</v>
      </c>
      <c r="AA297" s="2" t="n">
        <v>227.35</v>
      </c>
      <c r="AB297" s="2" t="n">
        <v>27.32</v>
      </c>
      <c r="AC297" s="2" t="n">
        <v>72.97</v>
      </c>
      <c r="AD297" s="2" t="n">
        <v>396.94</v>
      </c>
      <c r="AE297" s="2" t="n">
        <v>205.97</v>
      </c>
      <c r="AF297" s="2" t="n">
        <v>108913.1</v>
      </c>
      <c r="AG297" s="2" t="n">
        <v>2614.41</v>
      </c>
    </row>
    <row r="298" ht="16" customHeight="1">
      <c r="A298" s="2" t="inlineStr">
        <is>
          <t>07/07/2025</t>
        </is>
      </c>
      <c r="B298" s="2" t="n">
        <v>110685</v>
      </c>
      <c r="C298" s="2" t="n">
        <v>1073890</v>
      </c>
      <c r="D298" s="2" t="n">
        <v>1047910</v>
      </c>
      <c r="E298" s="2" t="n">
        <v>100.44</v>
      </c>
      <c r="F298" s="2" t="n">
        <v>120.8</v>
      </c>
      <c r="G298" s="2" t="n"/>
      <c r="H298" s="2" t="n">
        <v>93.97</v>
      </c>
      <c r="I298" s="2" t="n">
        <v>120.25</v>
      </c>
      <c r="J298" s="2" t="n">
        <v>1368</v>
      </c>
      <c r="K298" s="2" t="n">
        <v>1375.59</v>
      </c>
      <c r="L298" s="2" t="n">
        <v>20550</v>
      </c>
      <c r="M298" s="2" t="n"/>
      <c r="N298" s="2" t="n">
        <v>9355</v>
      </c>
      <c r="O298" s="2" t="n"/>
      <c r="P298" s="2" t="n">
        <v>54.86</v>
      </c>
      <c r="Q298" s="2" t="n">
        <v>49.86</v>
      </c>
      <c r="R298" s="2" t="n">
        <v>12440</v>
      </c>
      <c r="S298" s="2" t="n">
        <v>12950</v>
      </c>
      <c r="T298" s="2" t="n">
        <v>21480</v>
      </c>
      <c r="U298" s="2" t="n">
        <v>23280</v>
      </c>
      <c r="V298" s="2" t="n">
        <v>19565</v>
      </c>
      <c r="W298" s="2" t="n">
        <v>20760</v>
      </c>
      <c r="X298" s="2" t="n">
        <v>12695</v>
      </c>
      <c r="Y298" s="2" t="n">
        <v>3890</v>
      </c>
      <c r="AA298" s="2" t="n">
        <v>227.18</v>
      </c>
      <c r="AB298" s="2" t="n">
        <v>27.06</v>
      </c>
      <c r="AC298" s="2" t="n">
        <v>73.03</v>
      </c>
      <c r="AD298" s="2" t="n">
        <v>395.67</v>
      </c>
      <c r="AE298" s="2" t="n">
        <v>206.49</v>
      </c>
      <c r="AF298" s="2" t="n">
        <v>108269.6</v>
      </c>
      <c r="AG298" s="2" t="n">
        <v>2542.35</v>
      </c>
    </row>
    <row r="299" ht="16" customHeight="1">
      <c r="A299" s="2" t="inlineStr">
        <is>
          <t>07/06/2025</t>
        </is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>
        <v>1361</v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AA299" s="2" t="n"/>
      <c r="AB299" s="2" t="n"/>
      <c r="AC299" s="2" t="n"/>
      <c r="AD299" s="2" t="n"/>
      <c r="AE299" s="2" t="n"/>
      <c r="AF299" s="2" t="n">
        <v>109207</v>
      </c>
      <c r="AG299" s="2" t="n">
        <v>2570.57</v>
      </c>
    </row>
    <row r="300" ht="16" customHeight="1">
      <c r="A300" s="2" t="inlineStr">
        <is>
          <t>07/05/2025</t>
        </is>
      </c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>
        <v>1370</v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AA300" s="2" t="n"/>
      <c r="AB300" s="2" t="n"/>
      <c r="AC300" s="2" t="n"/>
      <c r="AD300" s="2" t="n"/>
      <c r="AE300" s="2" t="n"/>
      <c r="AF300" s="2" t="n">
        <v>108204.7</v>
      </c>
      <c r="AG300" s="2" t="n">
        <v>2516.3</v>
      </c>
    </row>
    <row r="301" ht="16" customHeight="1">
      <c r="A301" s="2" t="inlineStr">
        <is>
          <t>07/04/2025</t>
        </is>
      </c>
      <c r="B301" s="2" t="n">
        <v>110680</v>
      </c>
      <c r="C301" s="2" t="n">
        <v>1073815</v>
      </c>
      <c r="D301" s="2" t="n">
        <v>1047850</v>
      </c>
      <c r="E301" s="2" t="n"/>
      <c r="F301" s="2" t="n"/>
      <c r="G301" s="2" t="n"/>
      <c r="H301" s="2" t="n"/>
      <c r="I301" s="2" t="n"/>
      <c r="J301" s="2" t="n">
        <v>1368</v>
      </c>
      <c r="K301" s="2" t="n">
        <v>1362.52</v>
      </c>
      <c r="L301" s="2" t="n">
        <v>20665</v>
      </c>
      <c r="M301" s="2" t="n"/>
      <c r="N301" s="2" t="n">
        <v>9360</v>
      </c>
      <c r="O301" s="2" t="n"/>
      <c r="P301" s="2" t="n"/>
      <c r="Q301" s="2" t="n"/>
      <c r="R301" s="2" t="n">
        <v>12420</v>
      </c>
      <c r="S301" s="2" t="n">
        <v>12860</v>
      </c>
      <c r="T301" s="2" t="n">
        <v>21420</v>
      </c>
      <c r="U301" s="2" t="n">
        <v>23235</v>
      </c>
      <c r="V301" s="2" t="n">
        <v>19505</v>
      </c>
      <c r="W301" s="2" t="n">
        <v>20735</v>
      </c>
      <c r="X301" s="2" t="n">
        <v>12670</v>
      </c>
      <c r="Y301" s="2" t="n">
        <v>3870</v>
      </c>
      <c r="AA301" s="2" t="n"/>
      <c r="AB301" s="2" t="n"/>
      <c r="AC301" s="2" t="n"/>
      <c r="AD301" s="2" t="n"/>
      <c r="AE301" s="2" t="n"/>
      <c r="AF301" s="2" t="n">
        <v>107989.6</v>
      </c>
      <c r="AG301" s="2" t="n">
        <v>2508.02</v>
      </c>
    </row>
    <row r="302" ht="16" customHeight="1">
      <c r="A302" s="2" t="inlineStr">
        <is>
          <t>07/03/2025</t>
        </is>
      </c>
      <c r="B302" s="2" t="n">
        <v>110655</v>
      </c>
      <c r="C302" s="2" t="n">
        <v>1073745</v>
      </c>
      <c r="D302" s="2" t="n">
        <v>1047765</v>
      </c>
      <c r="E302" s="2" t="n">
        <v>100.42</v>
      </c>
      <c r="F302" s="2" t="n">
        <v>120.44</v>
      </c>
      <c r="G302" s="2" t="n"/>
      <c r="H302" s="2" t="n">
        <v>95.25</v>
      </c>
      <c r="I302" s="2" t="n">
        <v>117.72</v>
      </c>
      <c r="J302" s="2" t="n">
        <v>1358</v>
      </c>
      <c r="K302" s="2" t="n">
        <v>1363.5</v>
      </c>
      <c r="L302" s="2" t="n">
        <v>20715</v>
      </c>
      <c r="M302" s="2" t="n"/>
      <c r="N302" s="2" t="n">
        <v>9420</v>
      </c>
      <c r="O302" s="2" t="n"/>
      <c r="P302" s="2" t="n">
        <v>55.36</v>
      </c>
      <c r="Q302" s="2" t="n">
        <v>49.78</v>
      </c>
      <c r="R302" s="2" t="n">
        <v>12400</v>
      </c>
      <c r="S302" s="2" t="n">
        <v>13210</v>
      </c>
      <c r="T302" s="2" t="n">
        <v>21295</v>
      </c>
      <c r="U302" s="2" t="n">
        <v>23715</v>
      </c>
      <c r="V302" s="2" t="n">
        <v>19395</v>
      </c>
      <c r="W302" s="2" t="n">
        <v>20585</v>
      </c>
      <c r="X302" s="2" t="n">
        <v>12640</v>
      </c>
      <c r="Y302" s="2" t="n">
        <v>3945</v>
      </c>
      <c r="AA302" s="2" t="n">
        <v>228.92</v>
      </c>
      <c r="AB302" s="2" t="n">
        <v>27.35</v>
      </c>
      <c r="AC302" s="2" t="n">
        <v>73.56999999999999</v>
      </c>
      <c r="AD302" s="2" t="n">
        <v>403.99</v>
      </c>
      <c r="AE302" s="2" t="n">
        <v>207.81</v>
      </c>
      <c r="AF302" s="2" t="n">
        <v>109600.5</v>
      </c>
      <c r="AG302" s="2" t="n">
        <v>2590.98</v>
      </c>
    </row>
    <row r="303" ht="16" customHeight="1">
      <c r="A303" s="2" t="inlineStr">
        <is>
          <t>07/02/2025</t>
        </is>
      </c>
      <c r="B303" s="2" t="n">
        <v>110650</v>
      </c>
      <c r="C303" s="2" t="n">
        <v>1073540</v>
      </c>
      <c r="D303" s="2" t="n">
        <v>1047530</v>
      </c>
      <c r="E303" s="2" t="n">
        <v>100.37</v>
      </c>
      <c r="F303" s="2" t="n">
        <v>118.06</v>
      </c>
      <c r="G303" s="2" t="n"/>
      <c r="H303" s="2" t="n">
        <v>93.51000000000001</v>
      </c>
      <c r="I303" s="2" t="n">
        <v>114.59</v>
      </c>
      <c r="J303" s="2" t="n">
        <v>1355</v>
      </c>
      <c r="K303" s="2" t="n">
        <v>1356.19</v>
      </c>
      <c r="L303" s="2" t="n">
        <v>20565</v>
      </c>
      <c r="M303" s="2" t="n"/>
      <c r="N303" s="2" t="n">
        <v>9430</v>
      </c>
      <c r="O303" s="2" t="n"/>
      <c r="P303" s="2" t="n">
        <v>55.66</v>
      </c>
      <c r="Q303" s="2" t="n">
        <v>49.84</v>
      </c>
      <c r="R303" s="2" t="n">
        <v>12320</v>
      </c>
      <c r="S303" s="2" t="n">
        <v>13000</v>
      </c>
      <c r="T303" s="2" t="n">
        <v>21230</v>
      </c>
      <c r="U303" s="2" t="n">
        <v>23350</v>
      </c>
      <c r="V303" s="2" t="n">
        <v>19335</v>
      </c>
      <c r="W303" s="2" t="n">
        <v>20470</v>
      </c>
      <c r="X303" s="2" t="n">
        <v>12635</v>
      </c>
      <c r="Y303" s="2" t="n">
        <v>3870</v>
      </c>
      <c r="AA303" s="2" t="n">
        <v>226.71</v>
      </c>
      <c r="AB303" s="2" t="n">
        <v>27.31</v>
      </c>
      <c r="AC303" s="2" t="n">
        <v>72.97</v>
      </c>
      <c r="AD303" s="2" t="n">
        <v>402.28</v>
      </c>
      <c r="AE303" s="2" t="n">
        <v>206.46</v>
      </c>
      <c r="AF303" s="2" t="n">
        <v>108843.7</v>
      </c>
      <c r="AG303" s="2" t="n">
        <v>2570.23</v>
      </c>
    </row>
    <row r="304" ht="16" customHeight="1">
      <c r="A304" s="2" t="inlineStr">
        <is>
          <t>07/01/2025</t>
        </is>
      </c>
      <c r="B304" s="2" t="n">
        <v>110640</v>
      </c>
      <c r="C304" s="2" t="n">
        <v>1073470</v>
      </c>
      <c r="D304" s="2" t="n">
        <v>1047460</v>
      </c>
      <c r="E304" s="2" t="n">
        <v>100.37</v>
      </c>
      <c r="F304" s="2" t="n">
        <v>116.97</v>
      </c>
      <c r="G304" s="2" t="n"/>
      <c r="H304" s="2" t="n">
        <v>89.78</v>
      </c>
      <c r="I304" s="2" t="n">
        <v>111.37</v>
      </c>
      <c r="J304" s="2" t="n">
        <v>1372</v>
      </c>
      <c r="K304" s="2" t="n">
        <v>1356.51</v>
      </c>
      <c r="L304" s="2" t="n">
        <v>20490</v>
      </c>
      <c r="M304" s="2" t="n"/>
      <c r="N304" s="2" t="n">
        <v>9425</v>
      </c>
      <c r="O304" s="2" t="n"/>
      <c r="P304" s="2" t="n">
        <v>55.98</v>
      </c>
      <c r="Q304" s="2" t="n">
        <v>49.81</v>
      </c>
      <c r="R304" s="2" t="n">
        <v>12380</v>
      </c>
      <c r="S304" s="2" t="n">
        <v>12920</v>
      </c>
      <c r="T304" s="2" t="n">
        <v>21105</v>
      </c>
      <c r="U304" s="2" t="n">
        <v>23440</v>
      </c>
      <c r="V304" s="2" t="n">
        <v>19225</v>
      </c>
      <c r="W304" s="2" t="n">
        <v>20495</v>
      </c>
      <c r="X304" s="2" t="n">
        <v>12605</v>
      </c>
      <c r="Y304" s="2" t="n">
        <v>3855</v>
      </c>
      <c r="AA304" s="2" t="n">
        <v>225.11</v>
      </c>
      <c r="AB304" s="2" t="n">
        <v>27.05</v>
      </c>
      <c r="AC304" s="2" t="n">
        <v>72.65000000000001</v>
      </c>
      <c r="AD304" s="2" t="n">
        <v>373.3</v>
      </c>
      <c r="AE304" s="2" t="n">
        <v>206.07</v>
      </c>
      <c r="AF304" s="2" t="n">
        <v>105694.3</v>
      </c>
      <c r="AG304" s="2" t="n">
        <v>2405.26</v>
      </c>
    </row>
    <row r="305" ht="16" customHeight="1">
      <c r="A305" s="2" t="inlineStr">
        <is>
          <t>06/30/2025</t>
        </is>
      </c>
      <c r="B305" s="2" t="n">
        <v>110635</v>
      </c>
      <c r="C305" s="2" t="n">
        <v>1073400</v>
      </c>
      <c r="D305" s="2" t="n">
        <v>1047390</v>
      </c>
      <c r="E305" s="2" t="n">
        <v>100.69</v>
      </c>
      <c r="F305" s="2" t="n">
        <v>121.01</v>
      </c>
      <c r="G305" s="2" t="n"/>
      <c r="H305" s="2" t="n">
        <v>89.75</v>
      </c>
      <c r="I305" s="2" t="n">
        <v>113.15</v>
      </c>
      <c r="J305" s="2" t="n">
        <v>1360</v>
      </c>
      <c r="K305" s="2" t="n">
        <v>1352.74</v>
      </c>
      <c r="L305" s="2" t="n">
        <v>20100</v>
      </c>
      <c r="M305" s="2" t="n"/>
      <c r="N305" s="2" t="n">
        <v>9255</v>
      </c>
      <c r="O305" s="2" t="n"/>
      <c r="P305" s="2" t="n">
        <v>56.12</v>
      </c>
      <c r="Q305" s="2" t="n">
        <v>50.27</v>
      </c>
      <c r="R305" s="2" t="n">
        <v>12280</v>
      </c>
      <c r="S305" s="2" t="n">
        <v>12930</v>
      </c>
      <c r="T305" s="2" t="n">
        <v>21045</v>
      </c>
      <c r="U305" s="2" t="n">
        <v>23375</v>
      </c>
      <c r="V305" s="2" t="n">
        <v>19170</v>
      </c>
      <c r="W305" s="2" t="n">
        <v>20455</v>
      </c>
      <c r="X305" s="2" t="n">
        <v>12530</v>
      </c>
      <c r="Y305" s="2" t="n">
        <v>3885</v>
      </c>
      <c r="AA305" s="2" t="n">
        <v>227.1</v>
      </c>
      <c r="AB305" s="2" t="n">
        <v>26.5</v>
      </c>
      <c r="AC305" s="2" t="n">
        <v>72.69</v>
      </c>
      <c r="AD305" s="2" t="n">
        <v>404.23</v>
      </c>
      <c r="AE305" s="2" t="n">
        <v>204.67</v>
      </c>
      <c r="AF305" s="2" t="n">
        <v>107171.1</v>
      </c>
      <c r="AG305" s="2" t="n">
        <v>2486.52</v>
      </c>
    </row>
    <row r="306" ht="16" customHeight="1">
      <c r="A306" s="2" t="inlineStr">
        <is>
          <t>06/29/2025</t>
        </is>
      </c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>
        <v>1366</v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AA306" s="2" t="n"/>
      <c r="AB306" s="2" t="n"/>
      <c r="AC306" s="2" t="n"/>
      <c r="AD306" s="2" t="n"/>
      <c r="AE306" s="2" t="n"/>
      <c r="AF306" s="2" t="n">
        <v>108361.1</v>
      </c>
      <c r="AG306" s="2" t="n">
        <v>2500.42</v>
      </c>
    </row>
    <row r="307" ht="16" customHeight="1">
      <c r="A307" s="2" t="inlineStr">
        <is>
          <t>06/28/2025</t>
        </is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>
        <v>1372</v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AA307" s="2" t="n"/>
      <c r="AB307" s="2" t="n"/>
      <c r="AC307" s="2" t="n"/>
      <c r="AD307" s="2" t="n"/>
      <c r="AE307" s="2" t="n"/>
      <c r="AF307" s="2" t="n">
        <v>107304.4</v>
      </c>
      <c r="AG307" s="2" t="n">
        <v>2435.58</v>
      </c>
    </row>
    <row r="308" ht="16" customHeight="1">
      <c r="A308" s="2" t="inlineStr">
        <is>
          <t>06/27/2025</t>
        </is>
      </c>
      <c r="B308" s="2" t="n">
        <v>110630</v>
      </c>
      <c r="C308" s="2" t="n">
        <v>1073330</v>
      </c>
      <c r="D308" s="2" t="n">
        <v>1047315</v>
      </c>
      <c r="E308" s="2" t="n">
        <v>100.69</v>
      </c>
      <c r="F308" s="2" t="n">
        <v>105.56</v>
      </c>
      <c r="G308" s="2" t="n"/>
      <c r="H308" s="2" t="n">
        <v>87.40000000000001</v>
      </c>
      <c r="I308" s="2" t="n">
        <v>105.3</v>
      </c>
      <c r="J308" s="2" t="n">
        <v>1374</v>
      </c>
      <c r="K308" s="2" t="n">
        <v>1364.58</v>
      </c>
      <c r="L308" s="2" t="n">
        <v>20310</v>
      </c>
      <c r="M308" s="2" t="n"/>
      <c r="N308" s="2" t="n">
        <v>9350</v>
      </c>
      <c r="O308" s="2" t="n"/>
      <c r="P308" s="2" t="n">
        <v>55.61</v>
      </c>
      <c r="Q308" s="2" t="n">
        <v>50.23</v>
      </c>
      <c r="R308" s="2" t="n">
        <v>12280</v>
      </c>
      <c r="S308" s="2" t="n">
        <v>12950</v>
      </c>
      <c r="T308" s="2" t="n">
        <v>20995</v>
      </c>
      <c r="U308" s="2" t="n">
        <v>23225</v>
      </c>
      <c r="V308" s="2" t="n">
        <v>19120</v>
      </c>
      <c r="W308" s="2" t="n">
        <v>20400</v>
      </c>
      <c r="X308" s="2" t="n">
        <v>12580</v>
      </c>
      <c r="Y308" s="2" t="n">
        <v>3910</v>
      </c>
      <c r="AA308" s="2" t="n">
        <v>225.59</v>
      </c>
      <c r="AB308" s="2" t="n">
        <v>26.39</v>
      </c>
      <c r="AC308" s="2" t="n">
        <v>72.31999999999999</v>
      </c>
      <c r="AD308" s="2" t="n">
        <v>383.88</v>
      </c>
      <c r="AE308" s="2" t="n">
        <v>203.9</v>
      </c>
      <c r="AF308" s="2" t="n">
        <v>107044.2</v>
      </c>
      <c r="AG308" s="2" t="n">
        <v>2422.65</v>
      </c>
    </row>
    <row r="309" ht="16" customHeight="1">
      <c r="A309" s="2" t="inlineStr">
        <is>
          <t>06/26/2025</t>
        </is>
      </c>
      <c r="B309" s="2" t="n">
        <v>110605</v>
      </c>
      <c r="C309" s="2" t="n">
        <v>1073250</v>
      </c>
      <c r="D309" s="2" t="n">
        <v>1047235</v>
      </c>
      <c r="E309" s="2" t="n">
        <v>100.65</v>
      </c>
      <c r="F309" s="2" t="n">
        <v>105.23</v>
      </c>
      <c r="G309" s="2" t="n"/>
      <c r="H309" s="2" t="n">
        <v>87.31</v>
      </c>
      <c r="I309" s="2" t="n">
        <v>104.5</v>
      </c>
      <c r="J309" s="2" t="n">
        <v>1373</v>
      </c>
      <c r="K309" s="2" t="n">
        <v>1357.87</v>
      </c>
      <c r="L309" s="2" t="n">
        <v>20510</v>
      </c>
      <c r="M309" s="2" t="n"/>
      <c r="N309" s="2" t="n">
        <v>9380</v>
      </c>
      <c r="O309" s="2" t="n"/>
      <c r="P309" s="2" t="n">
        <v>55.92</v>
      </c>
      <c r="Q309" s="2" t="n">
        <v>50.26</v>
      </c>
      <c r="R309" s="2" t="n">
        <v>12305</v>
      </c>
      <c r="S309" s="2" t="n">
        <v>13055</v>
      </c>
      <c r="T309" s="2" t="n">
        <v>20820</v>
      </c>
      <c r="U309" s="2" t="n">
        <v>23360</v>
      </c>
      <c r="V309" s="2" t="n">
        <v>18960</v>
      </c>
      <c r="W309" s="2" t="n">
        <v>20220</v>
      </c>
      <c r="X309" s="2" t="n">
        <v>12540</v>
      </c>
      <c r="Y309" s="2" t="n">
        <v>3945</v>
      </c>
      <c r="AA309" s="2" t="n">
        <v>224.81</v>
      </c>
      <c r="AB309" s="2" t="n">
        <v>26.39</v>
      </c>
      <c r="AC309" s="2" t="n">
        <v>72.19</v>
      </c>
      <c r="AD309" s="2" t="n">
        <v>386.44</v>
      </c>
      <c r="AE309" s="2" t="n">
        <v>203.55</v>
      </c>
      <c r="AF309" s="2" t="n">
        <v>106945.9</v>
      </c>
      <c r="AG309" s="2" t="n">
        <v>2415.71</v>
      </c>
    </row>
    <row r="310" ht="16" customHeight="1">
      <c r="A310" s="2" t="inlineStr">
        <is>
          <t>06/25/2025</t>
        </is>
      </c>
      <c r="B310" s="2" t="n">
        <v>110595</v>
      </c>
      <c r="C310" s="2" t="n">
        <v>1073025</v>
      </c>
      <c r="D310" s="2" t="n">
        <v>1047010</v>
      </c>
      <c r="E310" s="2" t="n">
        <v>100.64</v>
      </c>
      <c r="F310" s="2" t="n">
        <v>104.8</v>
      </c>
      <c r="G310" s="2" t="n"/>
      <c r="H310" s="2" t="n">
        <v>87.11</v>
      </c>
      <c r="I310" s="2" t="n">
        <v>104.4</v>
      </c>
      <c r="J310" s="2" t="n">
        <v>1374</v>
      </c>
      <c r="K310" s="2" t="n">
        <v>1359.26</v>
      </c>
      <c r="L310" s="2" t="n">
        <v>20570</v>
      </c>
      <c r="M310" s="2" t="n"/>
      <c r="N310" s="2" t="n">
        <v>9380</v>
      </c>
      <c r="O310" s="2" t="n"/>
      <c r="P310" s="2" t="n">
        <v>55.68</v>
      </c>
      <c r="Q310" s="2" t="n">
        <v>50.18</v>
      </c>
      <c r="R310" s="2" t="n">
        <v>12590</v>
      </c>
      <c r="S310" s="2" t="n">
        <v>13220</v>
      </c>
      <c r="T310" s="2" t="n">
        <v>20875</v>
      </c>
      <c r="U310" s="2" t="n">
        <v>23595</v>
      </c>
      <c r="V310" s="2" t="n">
        <v>19005</v>
      </c>
      <c r="W310" s="2" t="n">
        <v>20215</v>
      </c>
      <c r="X310" s="2" t="n">
        <v>12580</v>
      </c>
      <c r="Y310" s="2" t="n">
        <v>4030</v>
      </c>
      <c r="AA310" s="2" t="n">
        <v>222.73</v>
      </c>
      <c r="AB310" s="2" t="n">
        <v>26.2</v>
      </c>
      <c r="AC310" s="2" t="n">
        <v>71.63</v>
      </c>
      <c r="AD310" s="2" t="n">
        <v>388.67</v>
      </c>
      <c r="AE310" s="2" t="n">
        <v>202.33</v>
      </c>
      <c r="AF310" s="2" t="n">
        <v>107349.4</v>
      </c>
      <c r="AG310" s="2" t="n">
        <v>2418.43</v>
      </c>
    </row>
    <row r="311" ht="16" customHeight="1">
      <c r="A311" s="2" t="inlineStr">
        <is>
          <t>06/24/2025</t>
        </is>
      </c>
      <c r="B311" s="2" t="n">
        <v>110590</v>
      </c>
      <c r="C311" s="2" t="n">
        <v>1072945</v>
      </c>
      <c r="D311" s="2" t="n">
        <v>1046930</v>
      </c>
      <c r="E311" s="2" t="n">
        <v>100.63</v>
      </c>
      <c r="F311" s="2" t="n">
        <v>103.8</v>
      </c>
      <c r="G311" s="2" t="n"/>
      <c r="H311" s="2" t="n">
        <v>87.09</v>
      </c>
      <c r="I311" s="2" t="n">
        <v>104.31</v>
      </c>
      <c r="J311" s="2" t="n">
        <v>1374</v>
      </c>
      <c r="K311" s="2" t="n">
        <v>1359.06</v>
      </c>
      <c r="L311" s="2" t="n">
        <v>20520</v>
      </c>
      <c r="M311" s="2" t="n"/>
      <c r="N311" s="2" t="n">
        <v>9305</v>
      </c>
      <c r="O311" s="2" t="n"/>
      <c r="P311" s="2" t="n">
        <v>55.65</v>
      </c>
      <c r="Q311" s="2" t="n">
        <v>50.16</v>
      </c>
      <c r="R311" s="2" t="n">
        <v>12660</v>
      </c>
      <c r="S311" s="2" t="n">
        <v>13240</v>
      </c>
      <c r="T311" s="2" t="n">
        <v>20800</v>
      </c>
      <c r="U311" s="2" t="n">
        <v>23505</v>
      </c>
      <c r="V311" s="2" t="n">
        <v>18950</v>
      </c>
      <c r="W311" s="2" t="n">
        <v>20130</v>
      </c>
      <c r="X311" s="2" t="n">
        <v>12545</v>
      </c>
      <c r="Y311" s="2" t="n">
        <v>4055</v>
      </c>
      <c r="AA311" s="2" t="n">
        <v>222.15</v>
      </c>
      <c r="AB311" s="2" t="n">
        <v>26.74</v>
      </c>
      <c r="AC311" s="2" t="n">
        <v>71.59</v>
      </c>
      <c r="AD311" s="2" t="n">
        <v>377.02</v>
      </c>
      <c r="AE311" s="2" t="n">
        <v>203.03</v>
      </c>
      <c r="AF311" s="2" t="n">
        <v>106078.6</v>
      </c>
      <c r="AG311" s="2" t="n">
        <v>2448.66</v>
      </c>
    </row>
    <row r="312" ht="16" customHeight="1">
      <c r="A312" s="2" t="inlineStr">
        <is>
          <t>06/23/2025</t>
        </is>
      </c>
      <c r="B312" s="2" t="n">
        <v>110580</v>
      </c>
      <c r="C312" s="2" t="n">
        <v>1072865</v>
      </c>
      <c r="D312" s="2" t="n">
        <v>1046865</v>
      </c>
      <c r="E312" s="2" t="n">
        <v>100.62</v>
      </c>
      <c r="F312" s="2" t="n">
        <v>103.01</v>
      </c>
      <c r="G312" s="2" t="n"/>
      <c r="H312" s="2" t="n">
        <v>87.23999999999999</v>
      </c>
      <c r="I312" s="2" t="n">
        <v>103.78</v>
      </c>
      <c r="J312" s="2" t="n">
        <v>1387</v>
      </c>
      <c r="K312" s="2" t="n">
        <v>1371.2</v>
      </c>
      <c r="L312" s="2" t="n">
        <v>21025</v>
      </c>
      <c r="M312" s="2" t="n"/>
      <c r="N312" s="2" t="n">
        <v>9365</v>
      </c>
      <c r="O312" s="2" t="n"/>
      <c r="P312" s="2" t="n">
        <v>55.29</v>
      </c>
      <c r="Q312" s="2" t="n">
        <v>50.16</v>
      </c>
      <c r="R312" s="2" t="n">
        <v>12365</v>
      </c>
      <c r="S312" s="2" t="n">
        <v>12935</v>
      </c>
      <c r="T312" s="2" t="n">
        <v>20705</v>
      </c>
      <c r="U312" s="2" t="n">
        <v>22735</v>
      </c>
      <c r="V312" s="2" t="n">
        <v>18855</v>
      </c>
      <c r="W312" s="2" t="n">
        <v>19940</v>
      </c>
      <c r="X312" s="2" t="n">
        <v>12635</v>
      </c>
      <c r="Y312" s="2" t="n">
        <v>4015</v>
      </c>
      <c r="AA312" s="2" t="n">
        <v>218.8</v>
      </c>
      <c r="AB312" s="2" t="n">
        <v>26.7</v>
      </c>
      <c r="AC312" s="2" t="n">
        <v>70.79000000000001</v>
      </c>
      <c r="AD312" s="2" t="n">
        <v>367.18</v>
      </c>
      <c r="AE312" s="2" t="n">
        <v>201.01</v>
      </c>
      <c r="AF312" s="2" t="n">
        <v>105376.9</v>
      </c>
      <c r="AG312" s="2" t="n">
        <v>2410.48</v>
      </c>
    </row>
    <row r="313" ht="16" customHeight="1">
      <c r="A313" s="2" t="inlineStr">
        <is>
          <t>06/22/2025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>
        <v>1396</v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AA313" s="2" t="n"/>
      <c r="AB313" s="2" t="n"/>
      <c r="AC313" s="2" t="n"/>
      <c r="AD313" s="2" t="n"/>
      <c r="AE313" s="2" t="n"/>
      <c r="AF313" s="2" t="n">
        <v>100990.4</v>
      </c>
      <c r="AG313" s="2" t="n">
        <v>2228.13</v>
      </c>
    </row>
    <row r="314" ht="16" customHeight="1">
      <c r="A314" s="2" t="inlineStr">
        <is>
          <t>06/21/2025</t>
        </is>
      </c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>
        <v>1398</v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AA314" s="2" t="n"/>
      <c r="AB314" s="2" t="n"/>
      <c r="AC314" s="2" t="n"/>
      <c r="AD314" s="2" t="n"/>
      <c r="AE314" s="2" t="n"/>
      <c r="AF314" s="2" t="n">
        <v>102113.2</v>
      </c>
      <c r="AG314" s="2" t="n">
        <v>2295.26</v>
      </c>
    </row>
    <row r="315" ht="16" customHeight="1">
      <c r="A315" s="2" t="inlineStr">
        <is>
          <t>06/20/2025</t>
        </is>
      </c>
      <c r="B315" s="2" t="n">
        <v>110570</v>
      </c>
      <c r="C315" s="2" t="n">
        <v>1072785</v>
      </c>
      <c r="D315" s="2" t="n">
        <v>1046800</v>
      </c>
      <c r="E315" s="2" t="n">
        <v>100.6</v>
      </c>
      <c r="F315" s="2" t="n">
        <v>102.68</v>
      </c>
      <c r="G315" s="2" t="n"/>
      <c r="H315" s="2" t="n">
        <v>87.19</v>
      </c>
      <c r="I315" s="2" t="n">
        <v>104</v>
      </c>
      <c r="J315" s="2" t="n">
        <v>1394</v>
      </c>
      <c r="K315" s="2" t="n">
        <v>1373.18</v>
      </c>
      <c r="L315" s="2" t="n">
        <v>20795</v>
      </c>
      <c r="M315" s="2" t="n"/>
      <c r="N315" s="2" t="n">
        <v>9330</v>
      </c>
      <c r="O315" s="2" t="n"/>
      <c r="P315" s="2" t="n">
        <v>55.08</v>
      </c>
      <c r="Q315" s="2" t="n">
        <v>50.12</v>
      </c>
      <c r="R315" s="2" t="n">
        <v>12425</v>
      </c>
      <c r="S315" s="2" t="n">
        <v>13105</v>
      </c>
      <c r="T315" s="2" t="n">
        <v>20505</v>
      </c>
      <c r="U315" s="2" t="n">
        <v>22755</v>
      </c>
      <c r="V315" s="2" t="n">
        <v>18675</v>
      </c>
      <c r="W315" s="2" t="n">
        <v>19810</v>
      </c>
      <c r="X315" s="2" t="n">
        <v>12525</v>
      </c>
      <c r="Y315" s="2" t="n">
        <v>4130</v>
      </c>
      <c r="AA315" s="2" t="n">
        <v>216.84</v>
      </c>
      <c r="AB315" s="2" t="n">
        <v>26.7</v>
      </c>
      <c r="AC315" s="2" t="n">
        <v>70.11</v>
      </c>
      <c r="AD315" s="2" t="n">
        <v>369.7</v>
      </c>
      <c r="AE315" s="2" t="n">
        <v>198.93</v>
      </c>
      <c r="AF315" s="2" t="n">
        <v>103280.5</v>
      </c>
      <c r="AG315" s="2" t="n">
        <v>2406.51</v>
      </c>
    </row>
    <row r="316" ht="16" customHeight="1">
      <c r="A316" s="2" t="inlineStr">
        <is>
          <t>06/19/2025</t>
        </is>
      </c>
      <c r="B316" s="2" t="n">
        <v>110545</v>
      </c>
      <c r="C316" s="2" t="n">
        <v>1072705</v>
      </c>
      <c r="D316" s="2" t="n">
        <v>1046720</v>
      </c>
      <c r="E316" s="2" t="n"/>
      <c r="F316" s="2" t="n"/>
      <c r="G316" s="2" t="n"/>
      <c r="H316" s="2" t="n"/>
      <c r="I316" s="2" t="n"/>
      <c r="J316" s="2" t="n">
        <v>1386</v>
      </c>
      <c r="K316" s="2" t="n">
        <v>1376.71</v>
      </c>
      <c r="L316" s="2" t="n">
        <v>20960</v>
      </c>
      <c r="M316" s="2" t="n"/>
      <c r="N316" s="2" t="n">
        <v>9380</v>
      </c>
      <c r="O316" s="2" t="n"/>
      <c r="P316" s="2" t="n"/>
      <c r="Q316" s="2" t="n"/>
      <c r="R316" s="2" t="n">
        <v>12395</v>
      </c>
      <c r="S316" s="2" t="n">
        <v>12895</v>
      </c>
      <c r="T316" s="2" t="n">
        <v>20665</v>
      </c>
      <c r="U316" s="2" t="n">
        <v>22460</v>
      </c>
      <c r="V316" s="2" t="n">
        <v>18820</v>
      </c>
      <c r="W316" s="2" t="n">
        <v>19930</v>
      </c>
      <c r="X316" s="2" t="n">
        <v>12640</v>
      </c>
      <c r="Y316" s="2" t="n">
        <v>4130</v>
      </c>
      <c r="AA316" s="2" t="n"/>
      <c r="AB316" s="2" t="n"/>
      <c r="AC316" s="2" t="n"/>
      <c r="AD316" s="2" t="n"/>
      <c r="AE316" s="2" t="n"/>
      <c r="AF316" s="2" t="n">
        <v>104669.6</v>
      </c>
      <c r="AG316" s="2" t="n">
        <v>2521.11</v>
      </c>
    </row>
    <row r="317" ht="16" customHeight="1">
      <c r="A317" s="2" t="inlineStr">
        <is>
          <t>06/18/2025</t>
        </is>
      </c>
      <c r="B317" s="2" t="n">
        <v>110540</v>
      </c>
      <c r="C317" s="2" t="n">
        <v>1072475</v>
      </c>
      <c r="D317" s="2" t="n">
        <v>1046525</v>
      </c>
      <c r="E317" s="2" t="n">
        <v>100.56</v>
      </c>
      <c r="F317" s="2" t="n">
        <v>104.35</v>
      </c>
      <c r="G317" s="2" t="n"/>
      <c r="H317" s="2" t="n">
        <v>87.09999999999999</v>
      </c>
      <c r="I317" s="2" t="n">
        <v>103.6</v>
      </c>
      <c r="J317" s="2" t="n">
        <v>1386</v>
      </c>
      <c r="K317" s="2" t="n">
        <v>1376.13</v>
      </c>
      <c r="L317" s="2" t="n">
        <v>21050</v>
      </c>
      <c r="M317" s="2" t="n"/>
      <c r="N317" s="2" t="n">
        <v>9295</v>
      </c>
      <c r="O317" s="2" t="n"/>
      <c r="P317" s="2" t="n">
        <v>55.15</v>
      </c>
      <c r="Q317" s="2" t="n">
        <v>50.05</v>
      </c>
      <c r="R317" s="2" t="n">
        <v>12430</v>
      </c>
      <c r="S317" s="2" t="n">
        <v>12850</v>
      </c>
      <c r="T317" s="2" t="n">
        <v>20640</v>
      </c>
      <c r="U317" s="2" t="n">
        <v>22435</v>
      </c>
      <c r="V317" s="2" t="n">
        <v>18800</v>
      </c>
      <c r="W317" s="2" t="n">
        <v>19930</v>
      </c>
      <c r="X317" s="2" t="n">
        <v>12570</v>
      </c>
      <c r="Y317" s="2" t="n">
        <v>4175</v>
      </c>
      <c r="AA317" s="2" t="n">
        <v>217.8</v>
      </c>
      <c r="AB317" s="2" t="n">
        <v>26.64</v>
      </c>
      <c r="AC317" s="2" t="n">
        <v>70.28</v>
      </c>
      <c r="AD317" s="2" t="n">
        <v>369.03</v>
      </c>
      <c r="AE317" s="2" t="n">
        <v>199.14</v>
      </c>
      <c r="AF317" s="2" t="n">
        <v>104894.2</v>
      </c>
      <c r="AG317" s="2" t="n">
        <v>2525.35</v>
      </c>
    </row>
    <row r="318" ht="16" customHeight="1">
      <c r="A318" s="2" t="inlineStr">
        <is>
          <t>06/17/2025</t>
        </is>
      </c>
      <c r="B318" s="2" t="n">
        <v>110530</v>
      </c>
      <c r="C318" s="2" t="n">
        <v>1072390</v>
      </c>
      <c r="D318" s="2" t="n">
        <v>1046455</v>
      </c>
      <c r="E318" s="2" t="n">
        <v>100.54</v>
      </c>
      <c r="F318" s="2" t="n">
        <v>103.9</v>
      </c>
      <c r="G318" s="2" t="n"/>
      <c r="H318" s="2" t="n">
        <v>87</v>
      </c>
      <c r="I318" s="2" t="n">
        <v>102.91</v>
      </c>
      <c r="J318" s="2" t="n">
        <v>1390</v>
      </c>
      <c r="K318" s="2" t="n">
        <v>1381.67</v>
      </c>
      <c r="L318" s="2" t="n">
        <v>20940</v>
      </c>
      <c r="M318" s="2" t="n"/>
      <c r="N318" s="2" t="n">
        <v>9190</v>
      </c>
      <c r="O318" s="2" t="n"/>
      <c r="P318" s="2" t="n">
        <v>55.09</v>
      </c>
      <c r="Q318" s="2" t="n">
        <v>50.02</v>
      </c>
      <c r="R318" s="2" t="n">
        <v>12360</v>
      </c>
      <c r="S318" s="2" t="n">
        <v>12815</v>
      </c>
      <c r="T318" s="2" t="n">
        <v>20595</v>
      </c>
      <c r="U318" s="2" t="n">
        <v>22230</v>
      </c>
      <c r="V318" s="2" t="n">
        <v>18750</v>
      </c>
      <c r="W318" s="2" t="n">
        <v>19905</v>
      </c>
      <c r="X318" s="2" t="n">
        <v>12495</v>
      </c>
      <c r="Y318" s="2" t="n">
        <v>4100</v>
      </c>
      <c r="AA318" s="2" t="n">
        <v>217.82</v>
      </c>
      <c r="AB318" s="2" t="n">
        <v>26.72</v>
      </c>
      <c r="AC318" s="2" t="n">
        <v>70.3</v>
      </c>
      <c r="AD318" s="2" t="n">
        <v>375.18</v>
      </c>
      <c r="AE318" s="2" t="n">
        <v>199.54</v>
      </c>
      <c r="AF318" s="2" t="n">
        <v>104559.8</v>
      </c>
      <c r="AG318" s="2" t="n">
        <v>2509.59</v>
      </c>
    </row>
    <row r="319" ht="16" customHeight="1">
      <c r="A319" s="2" t="inlineStr">
        <is>
          <t>06/16/2025</t>
        </is>
      </c>
      <c r="B319" s="2" t="n">
        <v>110525</v>
      </c>
      <c r="C319" s="2" t="n">
        <v>1072305</v>
      </c>
      <c r="D319" s="2" t="n">
        <v>1046385</v>
      </c>
      <c r="E319" s="2" t="n">
        <v>100.53</v>
      </c>
      <c r="F319" s="2" t="n">
        <v>104.75</v>
      </c>
      <c r="G319" s="2" t="n"/>
      <c r="H319" s="2" t="n">
        <v>88</v>
      </c>
      <c r="I319" s="2" t="n">
        <v>103.6</v>
      </c>
      <c r="J319" s="2" t="n">
        <v>1375</v>
      </c>
      <c r="K319" s="2" t="n">
        <v>1359.43</v>
      </c>
      <c r="L319" s="2" t="n">
        <v>21070</v>
      </c>
      <c r="M319" s="2" t="n"/>
      <c r="N319" s="2" t="n">
        <v>9215</v>
      </c>
      <c r="O319" s="2" t="n"/>
      <c r="P319" s="2" t="n">
        <v>54.49</v>
      </c>
      <c r="Q319" s="2" t="n">
        <v>49.92</v>
      </c>
      <c r="R319" s="2" t="n">
        <v>12460</v>
      </c>
      <c r="S319" s="2" t="n">
        <v>12885</v>
      </c>
      <c r="T319" s="2" t="n">
        <v>20535</v>
      </c>
      <c r="U319" s="2" t="n">
        <v>22170</v>
      </c>
      <c r="V319" s="2" t="n">
        <v>18695</v>
      </c>
      <c r="W319" s="2" t="n">
        <v>19780</v>
      </c>
      <c r="X319" s="2" t="n">
        <v>12495</v>
      </c>
      <c r="Y319" s="2" t="n">
        <v>4055</v>
      </c>
      <c r="AA319" s="2" t="n">
        <v>219.99</v>
      </c>
      <c r="AB319" s="2" t="n">
        <v>26.92</v>
      </c>
      <c r="AC319" s="2" t="n">
        <v>70.90000000000001</v>
      </c>
      <c r="AD319" s="2" t="n">
        <v>382.25</v>
      </c>
      <c r="AE319" s="2" t="n">
        <v>201.16</v>
      </c>
      <c r="AF319" s="2" t="n">
        <v>106740.4</v>
      </c>
      <c r="AG319" s="2" t="n">
        <v>2538.95</v>
      </c>
    </row>
    <row r="320" ht="16" customHeight="1">
      <c r="A320" s="2" t="inlineStr">
        <is>
          <t>06/15/2025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>
        <v>1384</v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AA320" s="2" t="n"/>
      <c r="AB320" s="2" t="n"/>
      <c r="AC320" s="2" t="n"/>
      <c r="AD320" s="2" t="n"/>
      <c r="AE320" s="2" t="n"/>
      <c r="AF320" s="2" t="n">
        <v>105591.8</v>
      </c>
      <c r="AG320" s="2" t="n">
        <v>2547.58</v>
      </c>
    </row>
    <row r="321" ht="16" customHeight="1">
      <c r="A321" s="2" t="inlineStr">
        <is>
          <t>06/14/2025</t>
        </is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>
        <v>1390</v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AA321" s="2" t="n"/>
      <c r="AB321" s="2" t="n"/>
      <c r="AC321" s="2" t="n"/>
      <c r="AD321" s="2" t="n"/>
      <c r="AE321" s="2" t="n"/>
      <c r="AF321" s="2" t="n">
        <v>105421.5</v>
      </c>
      <c r="AG321" s="2" t="n">
        <v>2531.39</v>
      </c>
    </row>
    <row r="322" ht="16" customHeight="1">
      <c r="A322" s="2" t="inlineStr">
        <is>
          <t>06/13/2025</t>
        </is>
      </c>
      <c r="B322" s="2" t="n">
        <v>110520</v>
      </c>
      <c r="C322" s="2" t="n">
        <v>1072225</v>
      </c>
      <c r="D322" s="2" t="n">
        <v>1046325</v>
      </c>
      <c r="E322" s="2" t="n">
        <v>100.53</v>
      </c>
      <c r="F322" s="2" t="n">
        <v>104.5</v>
      </c>
      <c r="G322" s="2" t="n"/>
      <c r="H322" s="2" t="n">
        <v>87.73999999999999</v>
      </c>
      <c r="I322" s="2" t="n">
        <v>103.5</v>
      </c>
      <c r="J322" s="2" t="n">
        <v>1390</v>
      </c>
      <c r="K322" s="2" t="n">
        <v>1366.85</v>
      </c>
      <c r="L322" s="2" t="n">
        <v>21225</v>
      </c>
      <c r="M322" s="2" t="n"/>
      <c r="N322" s="2" t="n">
        <v>9375</v>
      </c>
      <c r="O322" s="2" t="n"/>
      <c r="P322" s="2" t="n">
        <v>54.94</v>
      </c>
      <c r="Q322" s="2" t="n">
        <v>49.95</v>
      </c>
      <c r="R322" s="2" t="n">
        <v>12300</v>
      </c>
      <c r="S322" s="2" t="n">
        <v>12790</v>
      </c>
      <c r="T322" s="2" t="n">
        <v>20465</v>
      </c>
      <c r="U322" s="2" t="n">
        <v>21770</v>
      </c>
      <c r="V322" s="2" t="n">
        <v>18630</v>
      </c>
      <c r="W322" s="2" t="n">
        <v>19690</v>
      </c>
      <c r="X322" s="2" t="n">
        <v>12475</v>
      </c>
      <c r="Y322" s="2" t="n">
        <v>4100</v>
      </c>
      <c r="AA322" s="2" t="n">
        <v>216.94</v>
      </c>
      <c r="AB322" s="2" t="n">
        <v>26.9</v>
      </c>
      <c r="AC322" s="2" t="n">
        <v>70.22</v>
      </c>
      <c r="AD322" s="2" t="n">
        <v>382.87</v>
      </c>
      <c r="AE322" s="2" t="n">
        <v>200.46</v>
      </c>
      <c r="AF322" s="2" t="n">
        <v>106080.3</v>
      </c>
      <c r="AG322" s="2" t="n">
        <v>2578.83</v>
      </c>
    </row>
    <row r="323" ht="16" customHeight="1">
      <c r="A323" s="2" t="inlineStr">
        <is>
          <t>06/12/2025</t>
        </is>
      </c>
      <c r="B323" s="2" t="n">
        <v>110490</v>
      </c>
      <c r="C323" s="2" t="n">
        <v>1072140</v>
      </c>
      <c r="D323" s="2" t="n">
        <v>1046245</v>
      </c>
      <c r="E323" s="2" t="n">
        <v>100.49</v>
      </c>
      <c r="F323" s="2" t="n">
        <v>106</v>
      </c>
      <c r="G323" s="2" t="n"/>
      <c r="H323" s="2" t="n">
        <v>88.44</v>
      </c>
      <c r="I323" s="2" t="n">
        <v>104.68</v>
      </c>
      <c r="J323" s="2" t="n">
        <v>1378</v>
      </c>
      <c r="K323" s="2" t="n">
        <v>1355.17</v>
      </c>
      <c r="L323" s="2" t="n">
        <v>20700</v>
      </c>
      <c r="M323" s="2" t="n"/>
      <c r="N323" s="2" t="n">
        <v>9215</v>
      </c>
      <c r="O323" s="2" t="n"/>
      <c r="P323" s="2" t="n">
        <v>55.46</v>
      </c>
      <c r="Q323" s="2" t="n">
        <v>49.92</v>
      </c>
      <c r="R323" s="2" t="n">
        <v>12505</v>
      </c>
      <c r="S323" s="2" t="n">
        <v>13170</v>
      </c>
      <c r="T323" s="2" t="n">
        <v>20505</v>
      </c>
      <c r="U323" s="2" t="n">
        <v>21985</v>
      </c>
      <c r="V323" s="2" t="n">
        <v>18670</v>
      </c>
      <c r="W323" s="2" t="n">
        <v>19785</v>
      </c>
      <c r="X323" s="2" t="n">
        <v>12455</v>
      </c>
      <c r="Y323" s="2" t="n">
        <v>4170</v>
      </c>
      <c r="AA323" s="2" t="n">
        <v>219.72</v>
      </c>
      <c r="AB323" s="2" t="n">
        <v>27.02</v>
      </c>
      <c r="AC323" s="2" t="n">
        <v>71.01000000000001</v>
      </c>
      <c r="AD323" s="2" t="n">
        <v>379.76</v>
      </c>
      <c r="AE323" s="2" t="n">
        <v>202.64</v>
      </c>
      <c r="AF323" s="2" t="n">
        <v>105703</v>
      </c>
      <c r="AG323" s="2" t="n">
        <v>2643.7</v>
      </c>
    </row>
    <row r="324" ht="16" customHeight="1">
      <c r="A324" s="2" t="inlineStr">
        <is>
          <t>06/11/2025</t>
        </is>
      </c>
      <c r="B324" s="2" t="n">
        <v>110480</v>
      </c>
      <c r="C324" s="2" t="n">
        <v>1071910</v>
      </c>
      <c r="D324" s="2" t="n">
        <v>1046025</v>
      </c>
      <c r="E324" s="2" t="n">
        <v>100.48</v>
      </c>
      <c r="F324" s="2" t="n">
        <v>106.72</v>
      </c>
      <c r="G324" s="2" t="n"/>
      <c r="H324" s="2" t="n">
        <v>88.56</v>
      </c>
      <c r="I324" s="2" t="n">
        <v>104.7</v>
      </c>
      <c r="J324" s="2" t="n">
        <v>1380</v>
      </c>
      <c r="K324" s="2" t="n">
        <v>1370.17</v>
      </c>
      <c r="L324" s="2" t="n">
        <v>20670</v>
      </c>
      <c r="M324" s="2" t="n"/>
      <c r="N324" s="2" t="n">
        <v>9260</v>
      </c>
      <c r="O324" s="2" t="n"/>
      <c r="P324" s="2" t="n">
        <v>54.85</v>
      </c>
      <c r="Q324" s="2" t="n">
        <v>49.89</v>
      </c>
      <c r="R324" s="2" t="n">
        <v>12570</v>
      </c>
      <c r="S324" s="2" t="n">
        <v>13155</v>
      </c>
      <c r="T324" s="2" t="n">
        <v>20795</v>
      </c>
      <c r="U324" s="2" t="n">
        <v>21940</v>
      </c>
      <c r="V324" s="2" t="n">
        <v>18930</v>
      </c>
      <c r="W324" s="2" t="n">
        <v>20070</v>
      </c>
      <c r="X324" s="2" t="n">
        <v>12600</v>
      </c>
      <c r="Y324" s="2" t="n">
        <v>4185</v>
      </c>
      <c r="AA324" s="2" t="n">
        <v>219.22</v>
      </c>
      <c r="AB324" s="2" t="n">
        <v>26.86</v>
      </c>
      <c r="AC324" s="2" t="n">
        <v>70.73999999999999</v>
      </c>
      <c r="AD324" s="2" t="n">
        <v>387.11</v>
      </c>
      <c r="AE324" s="2" t="n">
        <v>201.27</v>
      </c>
      <c r="AF324" s="2" t="n">
        <v>108661.2</v>
      </c>
      <c r="AG324" s="2" t="n">
        <v>2772.11</v>
      </c>
    </row>
    <row r="325" ht="16" customHeight="1">
      <c r="A325" s="2" t="inlineStr">
        <is>
          <t>06/10/2025</t>
        </is>
      </c>
      <c r="B325" s="2" t="n">
        <v>110480</v>
      </c>
      <c r="C325" s="2" t="n">
        <v>1071825</v>
      </c>
      <c r="D325" s="2" t="n">
        <v>1045930</v>
      </c>
      <c r="E325" s="2" t="n">
        <v>100.46</v>
      </c>
      <c r="F325" s="2" t="n">
        <v>106.98</v>
      </c>
      <c r="G325" s="2" t="n"/>
      <c r="H325" s="2" t="n">
        <v>88.34999999999999</v>
      </c>
      <c r="I325" s="2" t="n">
        <v>105.25</v>
      </c>
      <c r="J325" s="2" t="n">
        <v>1368</v>
      </c>
      <c r="K325" s="2" t="n">
        <v>1366.22</v>
      </c>
      <c r="L325" s="2" t="n">
        <v>20510</v>
      </c>
      <c r="M325" s="2" t="n"/>
      <c r="N325" s="2" t="n">
        <v>9225</v>
      </c>
      <c r="O325" s="2" t="n"/>
      <c r="P325" s="2" t="n">
        <v>54.65</v>
      </c>
      <c r="Q325" s="2" t="n">
        <v>49.86</v>
      </c>
      <c r="R325" s="2" t="n">
        <v>12500</v>
      </c>
      <c r="S325" s="2" t="n">
        <v>12825</v>
      </c>
      <c r="T325" s="2" t="n">
        <v>20595</v>
      </c>
      <c r="U325" s="2" t="n">
        <v>21645</v>
      </c>
      <c r="V325" s="2" t="n">
        <v>18745</v>
      </c>
      <c r="W325" s="2" t="n">
        <v>19870</v>
      </c>
      <c r="X325" s="2" t="n">
        <v>12505</v>
      </c>
      <c r="Y325" s="2" t="n">
        <v>4075</v>
      </c>
      <c r="AA325" s="2" t="n">
        <v>219.95</v>
      </c>
      <c r="AB325" s="2" t="n">
        <v>26.95</v>
      </c>
      <c r="AC325" s="2" t="n">
        <v>70.94</v>
      </c>
      <c r="AD325" s="2" t="n">
        <v>391.18</v>
      </c>
      <c r="AE325" s="2" t="n">
        <v>201.36</v>
      </c>
      <c r="AF325" s="2" t="n">
        <v>110269.2</v>
      </c>
      <c r="AG325" s="2" t="n">
        <v>2815.73</v>
      </c>
    </row>
    <row r="326" ht="16" customHeight="1">
      <c r="A326" s="2" t="inlineStr">
        <is>
          <t>06/09/2025</t>
        </is>
      </c>
      <c r="B326" s="2" t="n">
        <v>110475</v>
      </c>
      <c r="C326" s="2" t="n">
        <v>1071745</v>
      </c>
      <c r="D326" s="2" t="n">
        <v>1045870</v>
      </c>
      <c r="E326" s="2" t="n">
        <v>100.45</v>
      </c>
      <c r="F326" s="2" t="n">
        <v>107.94</v>
      </c>
      <c r="G326" s="2" t="n"/>
      <c r="H326" s="2" t="n">
        <v>87</v>
      </c>
      <c r="I326" s="2" t="n">
        <v>105.25</v>
      </c>
      <c r="J326" s="2" t="n">
        <v>1365</v>
      </c>
      <c r="K326" s="2" t="n">
        <v>1354.33</v>
      </c>
      <c r="L326" s="2" t="n">
        <v>20365</v>
      </c>
      <c r="M326" s="2" t="n"/>
      <c r="N326" s="2" t="n">
        <v>9130</v>
      </c>
      <c r="O326" s="2" t="n"/>
      <c r="P326" s="2" t="n">
        <v>54.42</v>
      </c>
      <c r="Q326" s="2" t="n">
        <v>49.87</v>
      </c>
      <c r="R326" s="2" t="n">
        <v>12460</v>
      </c>
      <c r="S326" s="2" t="n">
        <v>12645</v>
      </c>
      <c r="T326" s="2" t="n">
        <v>20410</v>
      </c>
      <c r="U326" s="2" t="n">
        <v>21535</v>
      </c>
      <c r="V326" s="2" t="n">
        <v>18585</v>
      </c>
      <c r="W326" s="2" t="n">
        <v>19670</v>
      </c>
      <c r="X326" s="2" t="n">
        <v>12395</v>
      </c>
      <c r="Y326" s="2" t="n">
        <v>4025</v>
      </c>
      <c r="AA326" s="2" t="n">
        <v>218.52</v>
      </c>
      <c r="AB326" s="2" t="n">
        <v>26.65</v>
      </c>
      <c r="AC326" s="2" t="n">
        <v>70.53</v>
      </c>
      <c r="AD326" s="2" t="n">
        <v>392.12</v>
      </c>
      <c r="AE326" s="2" t="n">
        <v>200.07</v>
      </c>
      <c r="AF326" s="2" t="n">
        <v>110268.3</v>
      </c>
      <c r="AG326" s="2" t="n">
        <v>2680.07</v>
      </c>
    </row>
    <row r="327" ht="16" customHeight="1">
      <c r="A327" s="2" t="inlineStr">
        <is>
          <t>06/08/2025</t>
        </is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>
        <v>1379</v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AA327" s="2" t="n"/>
      <c r="AB327" s="2" t="n"/>
      <c r="AC327" s="2" t="n"/>
      <c r="AD327" s="2" t="n"/>
      <c r="AE327" s="2" t="n"/>
      <c r="AF327" s="2" t="n">
        <v>105739.6</v>
      </c>
      <c r="AG327" s="2" t="n">
        <v>2509.84</v>
      </c>
    </row>
    <row r="328" ht="16" customHeight="1">
      <c r="A328" s="2" t="inlineStr">
        <is>
          <t>06/07/2025</t>
        </is>
      </c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>
        <v>1387</v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AA328" s="2" t="n"/>
      <c r="AB328" s="2" t="n"/>
      <c r="AC328" s="2" t="n"/>
      <c r="AD328" s="2" t="n"/>
      <c r="AE328" s="2" t="n"/>
      <c r="AF328" s="2" t="n">
        <v>105564.2</v>
      </c>
      <c r="AG328" s="2" t="n">
        <v>2524.66</v>
      </c>
    </row>
    <row r="329" ht="16" customHeight="1">
      <c r="A329" s="2" t="inlineStr">
        <is>
          <t>06/06/2025</t>
        </is>
      </c>
      <c r="B329" s="2" t="n"/>
      <c r="C329" s="2" t="n"/>
      <c r="D329" s="2" t="n"/>
      <c r="E329" s="2" t="n">
        <v>100.44</v>
      </c>
      <c r="F329" s="2" t="n">
        <v>105.6</v>
      </c>
      <c r="G329" s="2" t="n"/>
      <c r="H329" s="2" t="n"/>
      <c r="I329" s="2" t="n">
        <v>103.28</v>
      </c>
      <c r="J329" s="2" t="n">
        <v>1391</v>
      </c>
      <c r="K329" s="2" t="n">
        <v>1360.18</v>
      </c>
      <c r="L329" s="2" t="n"/>
      <c r="M329" s="2" t="n"/>
      <c r="N329" s="2" t="n"/>
      <c r="O329" s="2" t="n"/>
      <c r="P329" s="2" t="n">
        <v>54.35</v>
      </c>
      <c r="Q329" s="2" t="n">
        <v>49.85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AA329" s="2" t="n">
        <v>218.16</v>
      </c>
      <c r="AB329" s="2" t="n">
        <v>26.54</v>
      </c>
      <c r="AC329" s="2" t="n">
        <v>70.47</v>
      </c>
      <c r="AD329" s="2" t="n">
        <v>374.47</v>
      </c>
      <c r="AE329" s="2" t="n">
        <v>200.45</v>
      </c>
      <c r="AF329" s="2" t="n">
        <v>104308.3</v>
      </c>
      <c r="AG329" s="2" t="n">
        <v>2475.34</v>
      </c>
    </row>
    <row r="330" ht="16" customHeight="1">
      <c r="A330" s="2" t="inlineStr">
        <is>
          <t>06/05/2025</t>
        </is>
      </c>
      <c r="B330" s="2" t="n">
        <v>110465</v>
      </c>
      <c r="C330" s="2" t="n">
        <v>1071665</v>
      </c>
      <c r="D330" s="2" t="n">
        <v>1045795</v>
      </c>
      <c r="E330" s="2" t="n">
        <v>100.41</v>
      </c>
      <c r="F330" s="2" t="n">
        <v>101.74</v>
      </c>
      <c r="G330" s="2" t="n"/>
      <c r="H330" s="2" t="n"/>
      <c r="I330" s="2" t="n">
        <v>100</v>
      </c>
      <c r="J330" s="2" t="n">
        <v>1396</v>
      </c>
      <c r="K330" s="2" t="n">
        <v>1355.54</v>
      </c>
      <c r="L330" s="2" t="n">
        <v>20695</v>
      </c>
      <c r="M330" s="2" t="n"/>
      <c r="N330" s="2" t="n">
        <v>9245</v>
      </c>
      <c r="O330" s="2" t="n"/>
      <c r="P330" s="2" t="n">
        <v>55.02</v>
      </c>
      <c r="Q330" s="2" t="n">
        <v>49.94</v>
      </c>
      <c r="R330" s="2" t="n">
        <v>12395</v>
      </c>
      <c r="S330" s="2" t="n">
        <v>12480</v>
      </c>
      <c r="T330" s="2" t="n">
        <v>20365</v>
      </c>
      <c r="U330" s="2" t="n">
        <v>21175</v>
      </c>
      <c r="V330" s="2" t="n">
        <v>18540</v>
      </c>
      <c r="W330" s="2" t="n">
        <v>19685</v>
      </c>
      <c r="X330" s="2" t="n">
        <v>12405</v>
      </c>
      <c r="Y330" s="2" t="n">
        <v>3880</v>
      </c>
      <c r="AA330" s="2" t="n">
        <v>216.02</v>
      </c>
      <c r="AB330" s="2" t="n">
        <v>26.23</v>
      </c>
      <c r="AC330" s="2" t="n">
        <v>69.76000000000001</v>
      </c>
      <c r="AD330" s="2" t="n">
        <v>368.79</v>
      </c>
      <c r="AE330" s="2" t="n">
        <v>199.27</v>
      </c>
      <c r="AF330" s="2" t="n">
        <v>101521.9</v>
      </c>
      <c r="AG330" s="2" t="n">
        <v>2414.36</v>
      </c>
    </row>
    <row r="331" ht="16" customHeight="1">
      <c r="A331" s="2" t="inlineStr">
        <is>
          <t>06/04/2025</t>
        </is>
      </c>
      <c r="B331" s="2" t="n">
        <v>110435</v>
      </c>
      <c r="C331" s="2" t="n">
        <v>1071585</v>
      </c>
      <c r="D331" s="2" t="n">
        <v>1045710</v>
      </c>
      <c r="E331" s="2" t="n">
        <v>100.4</v>
      </c>
      <c r="F331" s="2" t="n">
        <v>107.5</v>
      </c>
      <c r="G331" s="2" t="n"/>
      <c r="H331" s="2" t="n"/>
      <c r="I331" s="2" t="n">
        <v>107.1</v>
      </c>
      <c r="J331" s="2" t="n">
        <v>1388</v>
      </c>
      <c r="K331" s="2" t="n">
        <v>1362.05</v>
      </c>
      <c r="L331" s="2" t="n">
        <v>20770</v>
      </c>
      <c r="M331" s="2" t="n"/>
      <c r="N331" s="2" t="n">
        <v>9195</v>
      </c>
      <c r="O331" s="2" t="n"/>
      <c r="P331" s="2" t="n">
        <v>55.02</v>
      </c>
      <c r="Q331" s="2" t="n">
        <v>50.01</v>
      </c>
      <c r="R331" s="2" t="n">
        <v>12395</v>
      </c>
      <c r="S331" s="2" t="n">
        <v>12415</v>
      </c>
      <c r="T331" s="2" t="n">
        <v>20535</v>
      </c>
      <c r="U331" s="2" t="n">
        <v>20800</v>
      </c>
      <c r="V331" s="2" t="n">
        <v>18700</v>
      </c>
      <c r="W331" s="2" t="n">
        <v>19805</v>
      </c>
      <c r="X331" s="2" t="n">
        <v>12545</v>
      </c>
      <c r="Y331" s="2" t="n">
        <v>3865</v>
      </c>
      <c r="AA331" s="2" t="n">
        <v>217.68</v>
      </c>
      <c r="AB331" s="2" t="n">
        <v>26.29</v>
      </c>
      <c r="AC331" s="2" t="n">
        <v>70.09</v>
      </c>
      <c r="AD331" s="2" t="n">
        <v>378.1</v>
      </c>
      <c r="AE331" s="2" t="n">
        <v>199.93</v>
      </c>
      <c r="AF331" s="2" t="n">
        <v>104695.6</v>
      </c>
      <c r="AG331" s="2" t="n">
        <v>2607.13</v>
      </c>
    </row>
    <row r="332" ht="16" customHeight="1">
      <c r="A332" s="2" t="inlineStr">
        <is>
          <t>06/03/2025</t>
        </is>
      </c>
      <c r="B332" s="2" t="n"/>
      <c r="C332" s="2" t="n"/>
      <c r="D332" s="2" t="n"/>
      <c r="E332" s="2" t="n">
        <v>100.39</v>
      </c>
      <c r="F332" s="2" t="n">
        <v>106.05</v>
      </c>
      <c r="G332" s="2" t="n"/>
      <c r="H332" s="2" t="n"/>
      <c r="I332" s="2" t="n">
        <v>106</v>
      </c>
      <c r="J332" s="2" t="n">
        <v>1397</v>
      </c>
      <c r="K332" s="2" t="n">
        <v>1378.71</v>
      </c>
      <c r="L332" s="2" t="n"/>
      <c r="M332" s="2" t="n"/>
      <c r="N332" s="2" t="n"/>
      <c r="O332" s="2" t="n"/>
      <c r="P332" s="2" t="n">
        <v>54.19</v>
      </c>
      <c r="Q332" s="2" t="n">
        <v>49.96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AA332" s="2" t="n">
        <v>217.11</v>
      </c>
      <c r="AB332" s="2" t="n">
        <v>26.44</v>
      </c>
      <c r="AC332" s="2" t="n">
        <v>70.13</v>
      </c>
      <c r="AD332" s="2" t="n">
        <v>387.43</v>
      </c>
      <c r="AE332" s="2" t="n">
        <v>200.08</v>
      </c>
      <c r="AF332" s="2" t="n">
        <v>105388.3</v>
      </c>
      <c r="AG332" s="2" t="n">
        <v>2593.03</v>
      </c>
    </row>
    <row r="333" ht="16" customHeight="1">
      <c r="A333" s="2" t="inlineStr">
        <is>
          <t>06/02/2025</t>
        </is>
      </c>
      <c r="B333" s="2" t="n">
        <v>110425</v>
      </c>
      <c r="C333" s="2" t="n">
        <v>1071290</v>
      </c>
      <c r="D333" s="2" t="n">
        <v>1045425</v>
      </c>
      <c r="E333" s="2" t="n">
        <v>100.38</v>
      </c>
      <c r="F333" s="2" t="n">
        <v>104.49</v>
      </c>
      <c r="G333" s="2" t="n"/>
      <c r="H333" s="2" t="n"/>
      <c r="I333" s="2" t="n">
        <v>104.51</v>
      </c>
      <c r="J333" s="2" t="n">
        <v>1400</v>
      </c>
      <c r="K333" s="2" t="n">
        <v>1377.05</v>
      </c>
      <c r="L333" s="2" t="n">
        <v>20740</v>
      </c>
      <c r="M333" s="2" t="n"/>
      <c r="N333" s="2" t="n">
        <v>9235</v>
      </c>
      <c r="O333" s="2" t="n"/>
      <c r="P333" s="2" t="n">
        <v>54.26</v>
      </c>
      <c r="Q333" s="2" t="n">
        <v>49.99</v>
      </c>
      <c r="R333" s="2" t="n">
        <v>12350</v>
      </c>
      <c r="S333" s="2" t="n">
        <v>12315</v>
      </c>
      <c r="T333" s="2" t="n">
        <v>20265</v>
      </c>
      <c r="U333" s="2" t="n">
        <v>20235</v>
      </c>
      <c r="V333" s="2" t="n">
        <v>18450</v>
      </c>
      <c r="W333" s="2" t="n">
        <v>19420</v>
      </c>
      <c r="X333" s="2" t="n">
        <v>12495</v>
      </c>
      <c r="Y333" s="2" t="n">
        <v>3805</v>
      </c>
      <c r="AA333" s="2" t="n">
        <v>215.43</v>
      </c>
      <c r="AB333" s="2" t="n">
        <v>26.25</v>
      </c>
      <c r="AC333" s="2" t="n">
        <v>69.70999999999999</v>
      </c>
      <c r="AD333" s="2" t="n">
        <v>372.27</v>
      </c>
      <c r="AE333" s="2" t="n">
        <v>198.78</v>
      </c>
      <c r="AF333" s="2" t="n">
        <v>105845.6</v>
      </c>
      <c r="AG333" s="2" t="n">
        <v>2606.81</v>
      </c>
    </row>
    <row r="334" ht="16" customHeight="1">
      <c r="A334" s="2" t="inlineStr">
        <is>
          <t>06/01/2025</t>
        </is>
      </c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>
        <v>1411</v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AA334" s="2" t="n"/>
      <c r="AB334" s="2" t="n"/>
      <c r="AC334" s="2" t="n"/>
      <c r="AD334" s="2" t="n"/>
      <c r="AE334" s="2" t="n"/>
      <c r="AF334" s="2" t="n">
        <v>105635.2</v>
      </c>
      <c r="AG334" s="2" t="n">
        <v>2537.51</v>
      </c>
    </row>
    <row r="335" ht="16" customHeight="1">
      <c r="A335" s="2" t="inlineStr">
        <is>
          <t>05/31/2025</t>
        </is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>
        <v>1415</v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AA335" s="2" t="n"/>
      <c r="AB335" s="2" t="n"/>
      <c r="AC335" s="2" t="n"/>
      <c r="AD335" s="2" t="n"/>
      <c r="AE335" s="2" t="n"/>
      <c r="AF335" s="2" t="n">
        <v>104598</v>
      </c>
      <c r="AG335" s="2" t="n">
        <v>2528.09</v>
      </c>
    </row>
    <row r="336" ht="16" customHeight="1">
      <c r="A336" s="2" t="inlineStr">
        <is>
          <t>05/30/2025</t>
        </is>
      </c>
      <c r="B336" s="2" t="n">
        <v>110410</v>
      </c>
      <c r="C336" s="2" t="n">
        <v>1071135</v>
      </c>
      <c r="D336" s="2" t="n">
        <v>1045345</v>
      </c>
      <c r="E336" s="2" t="n">
        <v>100.71</v>
      </c>
      <c r="F336" s="2" t="n">
        <v>103.16</v>
      </c>
      <c r="G336" s="2" t="n"/>
      <c r="H336" s="2" t="n"/>
      <c r="I336" s="2" t="n">
        <v>103.59</v>
      </c>
      <c r="J336" s="2" t="n">
        <v>1415</v>
      </c>
      <c r="K336" s="2" t="n">
        <v>1382.99</v>
      </c>
      <c r="L336" s="2" t="n">
        <v>20565</v>
      </c>
      <c r="M336" s="2" t="n"/>
      <c r="N336" s="2" t="n">
        <v>9345</v>
      </c>
      <c r="O336" s="2" t="n"/>
      <c r="P336" s="2" t="n">
        <v>54.97</v>
      </c>
      <c r="Q336" s="2" t="n">
        <v>50.02</v>
      </c>
      <c r="R336" s="2" t="n">
        <v>12465</v>
      </c>
      <c r="S336" s="2" t="n">
        <v>12175</v>
      </c>
      <c r="T336" s="2" t="n">
        <v>20450</v>
      </c>
      <c r="U336" s="2" t="n">
        <v>20265</v>
      </c>
      <c r="V336" s="2" t="n">
        <v>18615</v>
      </c>
      <c r="W336" s="2" t="n">
        <v>19630</v>
      </c>
      <c r="X336" s="2" t="n">
        <v>12570</v>
      </c>
      <c r="Y336" s="2" t="n">
        <v>3770</v>
      </c>
      <c r="AA336" s="2" t="n">
        <v>213.75</v>
      </c>
      <c r="AB336" s="2" t="n">
        <v>26.17</v>
      </c>
      <c r="AC336" s="2" t="n">
        <v>69.33</v>
      </c>
      <c r="AD336" s="2" t="n">
        <v>369.06</v>
      </c>
      <c r="AE336" s="2" t="n">
        <v>197.93</v>
      </c>
      <c r="AF336" s="2" t="n">
        <v>103981.3</v>
      </c>
      <c r="AG336" s="2" t="n">
        <v>2531.29</v>
      </c>
    </row>
    <row r="337" ht="16" customHeight="1">
      <c r="A337" s="2" t="inlineStr">
        <is>
          <t>05/29/2025</t>
        </is>
      </c>
      <c r="B337" s="2" t="n">
        <v>110385</v>
      </c>
      <c r="C337" s="2" t="n">
        <v>1071055</v>
      </c>
      <c r="D337" s="2" t="n">
        <v>1045175</v>
      </c>
      <c r="E337" s="2" t="n">
        <v>100.68</v>
      </c>
      <c r="F337" s="2" t="n">
        <v>101.61</v>
      </c>
      <c r="G337" s="2" t="n"/>
      <c r="H337" s="2" t="n"/>
      <c r="I337" s="2" t="n">
        <v>102.48</v>
      </c>
      <c r="J337" s="2" t="n">
        <v>1397</v>
      </c>
      <c r="K337" s="2" t="n">
        <v>1371.39</v>
      </c>
      <c r="L337" s="2" t="n">
        <v>20410</v>
      </c>
      <c r="M337" s="2" t="n"/>
      <c r="N337" s="2" t="n">
        <v>9170</v>
      </c>
      <c r="O337" s="2" t="n"/>
      <c r="P337" s="2" t="n">
        <v>54.82</v>
      </c>
      <c r="Q337" s="2" t="n">
        <v>49.96</v>
      </c>
      <c r="R337" s="2" t="n">
        <v>12480</v>
      </c>
      <c r="S337" s="2" t="n">
        <v>12215</v>
      </c>
      <c r="T337" s="2" t="n">
        <v>20675</v>
      </c>
      <c r="U337" s="2" t="n">
        <v>20440</v>
      </c>
      <c r="V337" s="2" t="n">
        <v>18825</v>
      </c>
      <c r="W337" s="2" t="n">
        <v>19970</v>
      </c>
      <c r="X337" s="2" t="n">
        <v>12605</v>
      </c>
      <c r="Y337" s="2" t="n">
        <v>3745</v>
      </c>
      <c r="AA337" s="2" t="n">
        <v>214.09</v>
      </c>
      <c r="AB337" s="2" t="n">
        <v>26.19</v>
      </c>
      <c r="AC337" s="2" t="n">
        <v>69.40000000000001</v>
      </c>
      <c r="AD337" s="2" t="n">
        <v>370.63</v>
      </c>
      <c r="AE337" s="2" t="n">
        <v>197.34</v>
      </c>
      <c r="AF337" s="2" t="n">
        <v>105600</v>
      </c>
      <c r="AG337" s="2" t="n">
        <v>2632.5</v>
      </c>
    </row>
    <row r="338" ht="16" customHeight="1">
      <c r="A338" s="2" t="inlineStr">
        <is>
          <t>05/28/2025</t>
        </is>
      </c>
      <c r="B338" s="2" t="n">
        <v>110375</v>
      </c>
      <c r="C338" s="2" t="n">
        <v>1070830</v>
      </c>
      <c r="D338" s="2" t="n">
        <v>1044965</v>
      </c>
      <c r="E338" s="2" t="n">
        <v>100.68</v>
      </c>
      <c r="F338" s="2" t="n">
        <v>102.02</v>
      </c>
      <c r="G338" s="2" t="n"/>
      <c r="H338" s="2" t="n"/>
      <c r="I338" s="2" t="n">
        <v>101.51</v>
      </c>
      <c r="J338" s="2" t="n">
        <v>1394</v>
      </c>
      <c r="K338" s="2" t="n">
        <v>1374.59</v>
      </c>
      <c r="L338" s="2" t="n">
        <v>20555</v>
      </c>
      <c r="M338" s="2" t="n"/>
      <c r="N338" s="2" t="n">
        <v>9265</v>
      </c>
      <c r="O338" s="2" t="n"/>
      <c r="P338" s="2" t="n">
        <v>54.36</v>
      </c>
      <c r="Q338" s="2" t="n">
        <v>49.93</v>
      </c>
      <c r="R338" s="2" t="n">
        <v>12300</v>
      </c>
      <c r="S338" s="2" t="n">
        <v>12050</v>
      </c>
      <c r="T338" s="2" t="n">
        <v>20450</v>
      </c>
      <c r="U338" s="2" t="n">
        <v>20055</v>
      </c>
      <c r="V338" s="2" t="n">
        <v>18625</v>
      </c>
      <c r="W338" s="2" t="n">
        <v>19670</v>
      </c>
      <c r="X338" s="2" t="n">
        <v>12545</v>
      </c>
      <c r="Y338" s="2" t="n">
        <v>3740</v>
      </c>
      <c r="AA338" s="2" t="n">
        <v>213.66</v>
      </c>
      <c r="AB338" s="2" t="n">
        <v>26.04</v>
      </c>
      <c r="AC338" s="2" t="n">
        <v>69.12</v>
      </c>
      <c r="AD338" s="2" t="n">
        <v>364.25</v>
      </c>
      <c r="AE338" s="2" t="n">
        <v>196.6</v>
      </c>
      <c r="AF338" s="2" t="n">
        <v>107786.7</v>
      </c>
      <c r="AG338" s="2" t="n">
        <v>2681.2</v>
      </c>
    </row>
    <row r="339" ht="16" customHeight="1">
      <c r="A339" s="2" t="inlineStr">
        <is>
          <t>05/27/2025</t>
        </is>
      </c>
      <c r="B339" s="2" t="n">
        <v>110365</v>
      </c>
      <c r="C339" s="2" t="n">
        <v>1070750</v>
      </c>
      <c r="D339" s="2" t="n">
        <v>1044890</v>
      </c>
      <c r="E339" s="2" t="n">
        <v>100.65</v>
      </c>
      <c r="F339" s="2" t="n">
        <v>101.74</v>
      </c>
      <c r="G339" s="2" t="n"/>
      <c r="H339" s="2" t="n"/>
      <c r="I339" s="2" t="n">
        <v>101.42</v>
      </c>
      <c r="J339" s="2" t="n">
        <v>1388</v>
      </c>
      <c r="K339" s="2" t="n">
        <v>1375.8</v>
      </c>
      <c r="L339" s="2" t="n">
        <v>20605</v>
      </c>
      <c r="M339" s="2" t="n"/>
      <c r="N339" s="2" t="n">
        <v>9235</v>
      </c>
      <c r="O339" s="2" t="n"/>
      <c r="P339" s="2" t="n">
        <v>54.61</v>
      </c>
      <c r="Q339" s="2" t="n">
        <v>49.97</v>
      </c>
      <c r="R339" s="2" t="n">
        <v>12180</v>
      </c>
      <c r="S339" s="2" t="n">
        <v>12025</v>
      </c>
      <c r="T339" s="2" t="n">
        <v>20195</v>
      </c>
      <c r="U339" s="2" t="n">
        <v>19750</v>
      </c>
      <c r="V339" s="2" t="n">
        <v>18370</v>
      </c>
      <c r="W339" s="2" t="n">
        <v>19355</v>
      </c>
      <c r="X339" s="2" t="n">
        <v>12455</v>
      </c>
      <c r="Y339" s="2" t="n">
        <v>3720</v>
      </c>
      <c r="AA339" s="2" t="n">
        <v>214.61</v>
      </c>
      <c r="AB339" s="2" t="n">
        <v>26.27</v>
      </c>
      <c r="AC339" s="2" t="n">
        <v>69.52</v>
      </c>
      <c r="AD339" s="2" t="n">
        <v>372.2</v>
      </c>
      <c r="AE339" s="2" t="n">
        <v>197.9</v>
      </c>
      <c r="AF339" s="2" t="n">
        <v>108944</v>
      </c>
      <c r="AG339" s="2" t="n">
        <v>2660.88</v>
      </c>
    </row>
    <row r="340" ht="16" customHeight="1">
      <c r="A340" s="2" t="inlineStr">
        <is>
          <t>05/26/2025</t>
        </is>
      </c>
      <c r="B340" s="2" t="n">
        <v>110360</v>
      </c>
      <c r="C340" s="2" t="n">
        <v>1070670</v>
      </c>
      <c r="D340" s="2" t="n">
        <v>1044815</v>
      </c>
      <c r="E340" s="2" t="n"/>
      <c r="F340" s="2" t="n"/>
      <c r="G340" s="2" t="n"/>
      <c r="H340" s="2" t="n"/>
      <c r="I340" s="2" t="n"/>
      <c r="J340" s="2" t="n">
        <v>1390</v>
      </c>
      <c r="K340" s="2" t="n">
        <v>1369.44</v>
      </c>
      <c r="L340" s="2" t="n">
        <v>20700</v>
      </c>
      <c r="M340" s="2" t="n"/>
      <c r="N340" s="2" t="n">
        <v>9045</v>
      </c>
      <c r="O340" s="2" t="n"/>
      <c r="P340" s="2" t="n"/>
      <c r="Q340" s="2" t="n"/>
      <c r="R340" s="2" t="n">
        <v>12165</v>
      </c>
      <c r="S340" s="2" t="n">
        <v>11950</v>
      </c>
      <c r="T340" s="2" t="n">
        <v>20115</v>
      </c>
      <c r="U340" s="2" t="n">
        <v>19695</v>
      </c>
      <c r="V340" s="2" t="n">
        <v>18315</v>
      </c>
      <c r="W340" s="2" t="n">
        <v>19275</v>
      </c>
      <c r="X340" s="2" t="n">
        <v>12405</v>
      </c>
      <c r="Y340" s="2" t="n">
        <v>3710</v>
      </c>
      <c r="AA340" s="2" t="n"/>
      <c r="AB340" s="2" t="n"/>
      <c r="AC340" s="2" t="n"/>
      <c r="AD340" s="2" t="n"/>
      <c r="AE340" s="2" t="n"/>
      <c r="AF340" s="2" t="n">
        <v>109455.3</v>
      </c>
      <c r="AG340" s="2" t="n">
        <v>2563.84</v>
      </c>
    </row>
    <row r="341" ht="16" customHeight="1">
      <c r="A341" s="2" t="inlineStr">
        <is>
          <t>05/25/2025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>
        <v>1396</v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AA341" s="2" t="n"/>
      <c r="AB341" s="2" t="n"/>
      <c r="AC341" s="2" t="n"/>
      <c r="AD341" s="2" t="n"/>
      <c r="AE341" s="2" t="n"/>
      <c r="AF341" s="2" t="n">
        <v>109021.1</v>
      </c>
      <c r="AG341" s="2" t="n">
        <v>2551.2</v>
      </c>
    </row>
    <row r="342" ht="16" customHeight="1">
      <c r="A342" s="2" t="inlineStr">
        <is>
          <t>05/24/2025</t>
        </is>
      </c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>
        <v>1398</v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AA342" s="2" t="n"/>
      <c r="AB342" s="2" t="n"/>
      <c r="AC342" s="2" t="n"/>
      <c r="AD342" s="2" t="n"/>
      <c r="AE342" s="2" t="n"/>
      <c r="AF342" s="2" t="n">
        <v>107763</v>
      </c>
      <c r="AG342" s="2" t="n">
        <v>2529.32</v>
      </c>
    </row>
    <row r="343" ht="16" customHeight="1">
      <c r="A343" s="2" t="inlineStr">
        <is>
          <t>05/23/2025</t>
        </is>
      </c>
      <c r="B343" s="2" t="n">
        <v>110350</v>
      </c>
      <c r="C343" s="2" t="n">
        <v>1070585</v>
      </c>
      <c r="D343" s="2" t="n">
        <v>1044740</v>
      </c>
      <c r="E343" s="2" t="n">
        <v>100.64</v>
      </c>
      <c r="F343" s="2" t="n">
        <v>100.99</v>
      </c>
      <c r="G343" s="2" t="n"/>
      <c r="H343" s="2" t="n"/>
      <c r="I343" s="2" t="n">
        <v>100.15</v>
      </c>
      <c r="J343" s="2" t="n">
        <v>1398</v>
      </c>
      <c r="K343" s="2" t="n">
        <v>1365.72</v>
      </c>
      <c r="L343" s="2" t="n">
        <v>20790</v>
      </c>
      <c r="M343" s="2" t="n"/>
      <c r="N343" s="2" t="n">
        <v>9140</v>
      </c>
      <c r="O343" s="2" t="n"/>
      <c r="P343" s="2" t="n">
        <v>53.94</v>
      </c>
      <c r="Q343" s="2" t="n">
        <v>49.95</v>
      </c>
      <c r="R343" s="2" t="n">
        <v>12165</v>
      </c>
      <c r="S343" s="2" t="n">
        <v>11770</v>
      </c>
      <c r="T343" s="2" t="n">
        <v>20140</v>
      </c>
      <c r="U343" s="2" t="n">
        <v>19400</v>
      </c>
      <c r="V343" s="2" t="n">
        <v>18335</v>
      </c>
      <c r="W343" s="2" t="n">
        <v>19315</v>
      </c>
      <c r="X343" s="2" t="n">
        <v>12480</v>
      </c>
      <c r="Y343" s="2" t="n">
        <v>3860</v>
      </c>
      <c r="AA343" s="2" t="n">
        <v>209.66</v>
      </c>
      <c r="AB343" s="2" t="n">
        <v>25.89</v>
      </c>
      <c r="AC343" s="2" t="n">
        <v>68.13</v>
      </c>
      <c r="AD343" s="2" t="n">
        <v>369.51</v>
      </c>
      <c r="AE343" s="2" t="n">
        <v>194.33</v>
      </c>
      <c r="AF343" s="2" t="n">
        <v>107313.4</v>
      </c>
      <c r="AG343" s="2" t="n">
        <v>2526.46</v>
      </c>
    </row>
    <row r="344" ht="16" customHeight="1">
      <c r="A344" s="2" t="inlineStr">
        <is>
          <t>05/22/2025</t>
        </is>
      </c>
      <c r="B344" s="2" t="n">
        <v>110325</v>
      </c>
      <c r="C344" s="2" t="n">
        <v>1070505</v>
      </c>
      <c r="D344" s="2" t="n">
        <v>1044655</v>
      </c>
      <c r="E344" s="2" t="n">
        <v>100.61</v>
      </c>
      <c r="F344" s="2" t="n">
        <v>100.91</v>
      </c>
      <c r="G344" s="2" t="n"/>
      <c r="H344" s="2" t="n"/>
      <c r="I344" s="2" t="n">
        <v>99.40000000000001</v>
      </c>
      <c r="J344" s="2" t="n">
        <v>1389</v>
      </c>
      <c r="K344" s="2" t="n">
        <v>1382.23</v>
      </c>
      <c r="L344" s="2" t="n">
        <v>20885</v>
      </c>
      <c r="M344" s="2" t="n"/>
      <c r="N344" s="2" t="n">
        <v>9125</v>
      </c>
      <c r="O344" s="2" t="n"/>
      <c r="P344" s="2" t="n">
        <v>53.81</v>
      </c>
      <c r="Q344" s="2" t="n">
        <v>49.91</v>
      </c>
      <c r="R344" s="2" t="n">
        <v>12215</v>
      </c>
      <c r="S344" s="2" t="n">
        <v>11805</v>
      </c>
      <c r="T344" s="2" t="n">
        <v>20280</v>
      </c>
      <c r="U344" s="2" t="n">
        <v>19370</v>
      </c>
      <c r="V344" s="2" t="n">
        <v>18465</v>
      </c>
      <c r="W344" s="2" t="n">
        <v>19445</v>
      </c>
      <c r="X344" s="2" t="n">
        <v>12535</v>
      </c>
      <c r="Y344" s="2" t="n">
        <v>3825</v>
      </c>
      <c r="AA344" s="2" t="n">
        <v>211.67</v>
      </c>
      <c r="AB344" s="2" t="n">
        <v>25.96</v>
      </c>
      <c r="AC344" s="2" t="n">
        <v>68.56999999999999</v>
      </c>
      <c r="AD344" s="2" t="n">
        <v>399.46</v>
      </c>
      <c r="AE344" s="2" t="n">
        <v>194.92</v>
      </c>
      <c r="AF344" s="2" t="n">
        <v>111702.7</v>
      </c>
      <c r="AG344" s="2" t="n">
        <v>2663.77</v>
      </c>
    </row>
    <row r="345" ht="16" customHeight="1">
      <c r="A345" s="2" t="inlineStr">
        <is>
          <t>05/21/2025</t>
        </is>
      </c>
      <c r="B345" s="2" t="n">
        <v>110315</v>
      </c>
      <c r="C345" s="2" t="n">
        <v>1070265</v>
      </c>
      <c r="D345" s="2" t="n">
        <v>1044435</v>
      </c>
      <c r="E345" s="2" t="n">
        <v>100.59</v>
      </c>
      <c r="F345" s="2" t="n">
        <v>100</v>
      </c>
      <c r="G345" s="2" t="n"/>
      <c r="H345" s="2" t="n"/>
      <c r="I345" s="2" t="n">
        <v>100.65</v>
      </c>
      <c r="J345" s="2" t="n">
        <v>1392</v>
      </c>
      <c r="K345" s="2" t="n">
        <v>1374.83</v>
      </c>
      <c r="L345" s="2" t="n">
        <v>20815</v>
      </c>
      <c r="M345" s="2" t="n"/>
      <c r="N345" s="2" t="n">
        <v>9310</v>
      </c>
      <c r="O345" s="2" t="n"/>
      <c r="P345" s="2" t="n">
        <v>53.54</v>
      </c>
      <c r="Q345" s="2" t="n">
        <v>49.87</v>
      </c>
      <c r="R345" s="2" t="n">
        <v>12455</v>
      </c>
      <c r="S345" s="2" t="n">
        <v>11840</v>
      </c>
      <c r="T345" s="2" t="n">
        <v>20595</v>
      </c>
      <c r="U345" s="2" t="n">
        <v>19630</v>
      </c>
      <c r="V345" s="2" t="n">
        <v>18750</v>
      </c>
      <c r="W345" s="2" t="n">
        <v>19675</v>
      </c>
      <c r="X345" s="2" t="n">
        <v>12640</v>
      </c>
      <c r="Y345" s="2" t="n">
        <v>3780</v>
      </c>
      <c r="AA345" s="2" t="n">
        <v>211.21</v>
      </c>
      <c r="AB345" s="2" t="n">
        <v>26.01</v>
      </c>
      <c r="AC345" s="2" t="n">
        <v>68.56999999999999</v>
      </c>
      <c r="AD345" s="2" t="n">
        <v>402.69</v>
      </c>
      <c r="AE345" s="2" t="n">
        <v>195.6</v>
      </c>
      <c r="AF345" s="2" t="n">
        <v>109640.1</v>
      </c>
      <c r="AG345" s="2" t="n">
        <v>2551.42</v>
      </c>
    </row>
    <row r="346" ht="16" customHeight="1">
      <c r="A346" s="2" t="inlineStr">
        <is>
          <t>05/20/2025</t>
        </is>
      </c>
      <c r="B346" s="2" t="n">
        <v>110305</v>
      </c>
      <c r="C346" s="2" t="n">
        <v>1070180</v>
      </c>
      <c r="D346" s="2" t="n">
        <v>1044335</v>
      </c>
      <c r="E346" s="2" t="n">
        <v>100.58</v>
      </c>
      <c r="F346" s="2" t="n">
        <v>99.2</v>
      </c>
      <c r="G346" s="2" t="n"/>
      <c r="H346" s="2" t="n"/>
      <c r="I346" s="2" t="n">
        <v>98.8</v>
      </c>
      <c r="J346" s="2" t="n">
        <v>1409</v>
      </c>
      <c r="K346" s="2" t="n">
        <v>1393.72</v>
      </c>
      <c r="L346" s="2" t="n">
        <v>20355</v>
      </c>
      <c r="M346" s="2" t="n"/>
      <c r="N346" s="2" t="n">
        <v>9455</v>
      </c>
      <c r="O346" s="2" t="n"/>
      <c r="P346" s="2" t="n">
        <v>54.38</v>
      </c>
      <c r="Q346" s="2" t="n">
        <v>49.94</v>
      </c>
      <c r="R346" s="2" t="n">
        <v>12515</v>
      </c>
      <c r="S346" s="2" t="n">
        <v>11680</v>
      </c>
      <c r="T346" s="2" t="n">
        <v>20770</v>
      </c>
      <c r="U346" s="2" t="n">
        <v>19495</v>
      </c>
      <c r="V346" s="2" t="n">
        <v>18910</v>
      </c>
      <c r="W346" s="2" t="n">
        <v>19830</v>
      </c>
      <c r="X346" s="2" t="n">
        <v>12695</v>
      </c>
      <c r="Y346" s="2" t="n">
        <v>3710</v>
      </c>
      <c r="AA346" s="2" t="n">
        <v>214.2</v>
      </c>
      <c r="AB346" s="2" t="n">
        <v>26.48</v>
      </c>
      <c r="AC346" s="2" t="n">
        <v>69.73</v>
      </c>
      <c r="AD346" s="2" t="n">
        <v>416.92</v>
      </c>
      <c r="AE346" s="2" t="n">
        <v>199.08</v>
      </c>
      <c r="AF346" s="2" t="n">
        <v>106815.8</v>
      </c>
      <c r="AG346" s="2" t="n">
        <v>2523.82</v>
      </c>
    </row>
    <row r="347" ht="16" customHeight="1">
      <c r="A347" s="2" t="inlineStr">
        <is>
          <t>05/19/2025</t>
        </is>
      </c>
      <c r="B347" s="2" t="n">
        <v>110300</v>
      </c>
      <c r="C347" s="2" t="n">
        <v>1070100</v>
      </c>
      <c r="D347" s="2" t="n">
        <v>1044265</v>
      </c>
      <c r="E347" s="2" t="n">
        <v>100.56</v>
      </c>
      <c r="F347" s="2" t="n">
        <v>98.47</v>
      </c>
      <c r="G347" s="2" t="n"/>
      <c r="H347" s="2" t="n"/>
      <c r="I347" s="2" t="n">
        <v>98.23999999999999</v>
      </c>
      <c r="J347" s="2" t="n">
        <v>1409</v>
      </c>
      <c r="K347" s="2" t="n">
        <v>1389.55</v>
      </c>
      <c r="L347" s="2" t="n">
        <v>20545</v>
      </c>
      <c r="M347" s="2" t="n"/>
      <c r="N347" s="2" t="n">
        <v>9310</v>
      </c>
      <c r="O347" s="2" t="n"/>
      <c r="P347" s="2" t="n">
        <v>54.74</v>
      </c>
      <c r="Q347" s="2" t="n">
        <v>49.92</v>
      </c>
      <c r="R347" s="2" t="n">
        <v>12435</v>
      </c>
      <c r="S347" s="2" t="n">
        <v>11725</v>
      </c>
      <c r="T347" s="2" t="n">
        <v>20685</v>
      </c>
      <c r="U347" s="2" t="n">
        <v>19460</v>
      </c>
      <c r="V347" s="2" t="n">
        <v>18830</v>
      </c>
      <c r="W347" s="2" t="n">
        <v>19735</v>
      </c>
      <c r="X347" s="2" t="n">
        <v>12720</v>
      </c>
      <c r="Y347" s="2" t="n">
        <v>3705</v>
      </c>
      <c r="AA347" s="2" t="n">
        <v>214.94</v>
      </c>
      <c r="AB347" s="2" t="n">
        <v>26.58</v>
      </c>
      <c r="AC347" s="2" t="n">
        <v>69.97</v>
      </c>
      <c r="AD347" s="2" t="n">
        <v>413.42</v>
      </c>
      <c r="AE347" s="2" t="n">
        <v>199.5</v>
      </c>
      <c r="AF347" s="2" t="n">
        <v>105585.8</v>
      </c>
      <c r="AG347" s="2" t="n">
        <v>2528.21</v>
      </c>
    </row>
    <row r="348" ht="16" customHeight="1">
      <c r="A348" s="2" t="inlineStr">
        <is>
          <t>05/18/2025</t>
        </is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>
        <v>1414</v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AA348" s="2" t="n"/>
      <c r="AB348" s="2" t="n"/>
      <c r="AC348" s="2" t="n"/>
      <c r="AD348" s="2" t="n"/>
      <c r="AE348" s="2" t="n"/>
      <c r="AF348" s="2" t="n">
        <v>106504.5</v>
      </c>
      <c r="AG348" s="2" t="n">
        <v>2498.97</v>
      </c>
    </row>
    <row r="349" ht="16" customHeight="1">
      <c r="A349" s="2" t="inlineStr">
        <is>
          <t>05/17/2025</t>
        </is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>
        <v>1424</v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AA349" s="2" t="n"/>
      <c r="AB349" s="2" t="n"/>
      <c r="AC349" s="2" t="n"/>
      <c r="AD349" s="2" t="n"/>
      <c r="AE349" s="2" t="n"/>
      <c r="AF349" s="2" t="n">
        <v>103112.6</v>
      </c>
      <c r="AG349" s="2" t="n">
        <v>2475.04</v>
      </c>
    </row>
    <row r="350" ht="16" customHeight="1">
      <c r="A350" s="2" t="inlineStr">
        <is>
          <t>05/16/2025</t>
        </is>
      </c>
      <c r="B350" s="2" t="n">
        <v>110295</v>
      </c>
      <c r="C350" s="2" t="n">
        <v>1070020</v>
      </c>
      <c r="D350" s="2" t="n">
        <v>1044205</v>
      </c>
      <c r="E350" s="2" t="n">
        <v>100.55</v>
      </c>
      <c r="F350" s="2" t="n">
        <v>96.5</v>
      </c>
      <c r="G350" s="2" t="n"/>
      <c r="H350" s="2" t="n"/>
      <c r="I350" s="2" t="n">
        <v>98</v>
      </c>
      <c r="J350" s="2" t="n">
        <v>1417</v>
      </c>
      <c r="K350" s="2" t="n">
        <v>1399.13</v>
      </c>
      <c r="L350" s="2" t="n">
        <v>20335</v>
      </c>
      <c r="M350" s="2" t="n"/>
      <c r="N350" s="2" t="n">
        <v>9500</v>
      </c>
      <c r="O350" s="2" t="n"/>
      <c r="P350" s="2" t="n">
        <v>54.9</v>
      </c>
      <c r="Q350" s="2" t="n">
        <v>49.88</v>
      </c>
      <c r="R350" s="2" t="n">
        <v>12375</v>
      </c>
      <c r="S350" s="2" t="n">
        <v>11910</v>
      </c>
      <c r="T350" s="2" t="n">
        <v>20625</v>
      </c>
      <c r="U350" s="2" t="n">
        <v>19700</v>
      </c>
      <c r="V350" s="2" t="n">
        <v>18780</v>
      </c>
      <c r="W350" s="2" t="n">
        <v>19765</v>
      </c>
      <c r="X350" s="2" t="n">
        <v>12660</v>
      </c>
      <c r="Y350" s="2" t="n">
        <v>3745</v>
      </c>
      <c r="AA350" s="2" t="n">
        <v>214.7</v>
      </c>
      <c r="AB350" s="2" t="n">
        <v>26.6</v>
      </c>
      <c r="AC350" s="2" t="n">
        <v>69.90000000000001</v>
      </c>
      <c r="AD350" s="2" t="n">
        <v>399.8</v>
      </c>
      <c r="AE350" s="2" t="n">
        <v>199.09</v>
      </c>
      <c r="AF350" s="2" t="n">
        <v>103480.5</v>
      </c>
      <c r="AG350" s="2" t="n">
        <v>2537.04</v>
      </c>
    </row>
    <row r="351" ht="16" customHeight="1">
      <c r="A351" s="2" t="inlineStr">
        <is>
          <t>05/15/2025</t>
        </is>
      </c>
      <c r="B351" s="2" t="n">
        <v>110265</v>
      </c>
      <c r="C351" s="2" t="n">
        <v>1069940</v>
      </c>
      <c r="D351" s="2" t="n">
        <v>1044115</v>
      </c>
      <c r="E351" s="2" t="n">
        <v>100.51</v>
      </c>
      <c r="F351" s="2" t="n">
        <v>96.54000000000001</v>
      </c>
      <c r="G351" s="2" t="n"/>
      <c r="H351" s="2" t="n"/>
      <c r="I351" s="2" t="n">
        <v>97.45</v>
      </c>
      <c r="J351" s="2" t="n">
        <v>1409</v>
      </c>
      <c r="K351" s="2" t="n">
        <v>1397.99</v>
      </c>
      <c r="L351" s="2" t="n">
        <v>19960</v>
      </c>
      <c r="M351" s="2" t="n"/>
      <c r="N351" s="2" t="n">
        <v>9390</v>
      </c>
      <c r="O351" s="2" t="n"/>
      <c r="P351" s="2" t="n">
        <v>54.8</v>
      </c>
      <c r="Q351" s="2" t="n">
        <v>49.85</v>
      </c>
      <c r="R351" s="2" t="n">
        <v>12260</v>
      </c>
      <c r="S351" s="2" t="n">
        <v>12070</v>
      </c>
      <c r="T351" s="2" t="n">
        <v>20580</v>
      </c>
      <c r="U351" s="2" t="n">
        <v>19630</v>
      </c>
      <c r="V351" s="2" t="n">
        <v>18735</v>
      </c>
      <c r="W351" s="2" t="n">
        <v>19805</v>
      </c>
      <c r="X351" s="2" t="n">
        <v>12670</v>
      </c>
      <c r="Y351" s="2" t="n">
        <v>3860</v>
      </c>
      <c r="AA351" s="2" t="n">
        <v>213.82</v>
      </c>
      <c r="AB351" s="2" t="n">
        <v>26.42</v>
      </c>
      <c r="AC351" s="2" t="n">
        <v>69.45</v>
      </c>
      <c r="AD351" s="2" t="n">
        <v>397.03</v>
      </c>
      <c r="AE351" s="2" t="n">
        <v>197.68</v>
      </c>
      <c r="AF351" s="2" t="n">
        <v>103765.4</v>
      </c>
      <c r="AG351" s="2" t="n">
        <v>2548.16</v>
      </c>
    </row>
    <row r="352" ht="16" customHeight="1">
      <c r="A352" s="2" t="inlineStr">
        <is>
          <t>05/14/2025</t>
        </is>
      </c>
      <c r="B352" s="2" t="n">
        <v>110260</v>
      </c>
      <c r="C352" s="2" t="n">
        <v>1069710</v>
      </c>
      <c r="D352" s="2" t="n">
        <v>1043880</v>
      </c>
      <c r="E352" s="2" t="n">
        <v>100.51</v>
      </c>
      <c r="F352" s="2" t="n">
        <v>96.12</v>
      </c>
      <c r="G352" s="2" t="n"/>
      <c r="H352" s="2" t="n"/>
      <c r="I352" s="2" t="n">
        <v>97.59999999999999</v>
      </c>
      <c r="J352" s="2" t="n">
        <v>1408</v>
      </c>
      <c r="K352" s="2" t="n">
        <v>1408.31</v>
      </c>
      <c r="L352" s="2" t="n">
        <v>20705</v>
      </c>
      <c r="M352" s="2" t="n"/>
      <c r="N352" s="2" t="n">
        <v>9640</v>
      </c>
      <c r="O352" s="2" t="n"/>
      <c r="P352" s="2" t="n">
        <v>54.33</v>
      </c>
      <c r="Q352" s="2" t="n">
        <v>49.77</v>
      </c>
      <c r="R352" s="2" t="n">
        <v>12365</v>
      </c>
      <c r="S352" s="2" t="n">
        <v>12160</v>
      </c>
      <c r="T352" s="2" t="n">
        <v>21000</v>
      </c>
      <c r="U352" s="2" t="n">
        <v>19765</v>
      </c>
      <c r="V352" s="2" t="n">
        <v>19105</v>
      </c>
      <c r="W352" s="2" t="n">
        <v>20120</v>
      </c>
      <c r="X352" s="2" t="n">
        <v>12915</v>
      </c>
      <c r="Y352" s="2" t="n">
        <v>3880</v>
      </c>
      <c r="AA352" s="2" t="n">
        <v>213.54</v>
      </c>
      <c r="AB352" s="2" t="n">
        <v>26</v>
      </c>
      <c r="AC352" s="2" t="n">
        <v>69.11</v>
      </c>
      <c r="AD352" s="2" t="n">
        <v>416.75</v>
      </c>
      <c r="AE352" s="2" t="n">
        <v>195.29</v>
      </c>
      <c r="AF352" s="2" t="n">
        <v>103513.9</v>
      </c>
      <c r="AG352" s="2" t="n">
        <v>2609.68</v>
      </c>
    </row>
    <row r="353" ht="16" customHeight="1">
      <c r="A353" s="2" t="inlineStr">
        <is>
          <t>05/13/2025</t>
        </is>
      </c>
      <c r="B353" s="2" t="n">
        <v>110245</v>
      </c>
      <c r="C353" s="2" t="n">
        <v>1069630</v>
      </c>
      <c r="D353" s="2" t="n">
        <v>1043800</v>
      </c>
      <c r="E353" s="2" t="n">
        <v>100.5</v>
      </c>
      <c r="F353" s="2" t="n">
        <v>97.03</v>
      </c>
      <c r="G353" s="2" t="n"/>
      <c r="H353" s="2" t="n"/>
      <c r="I353" s="2" t="n">
        <v>96.98</v>
      </c>
      <c r="J353" s="2" t="n">
        <v>1402</v>
      </c>
      <c r="K353" s="2" t="n">
        <v>1416.99</v>
      </c>
      <c r="L353" s="2" t="n">
        <v>20840</v>
      </c>
      <c r="M353" s="2" t="n"/>
      <c r="N353" s="2" t="n">
        <v>9610</v>
      </c>
      <c r="O353" s="2" t="n"/>
      <c r="P353" s="2" t="n">
        <v>54.64</v>
      </c>
      <c r="Q353" s="2" t="n">
        <v>49.77</v>
      </c>
      <c r="R353" s="2" t="n">
        <v>12500</v>
      </c>
      <c r="S353" s="2" t="n">
        <v>12080</v>
      </c>
      <c r="T353" s="2" t="n">
        <v>20715</v>
      </c>
      <c r="U353" s="2" t="n">
        <v>19505</v>
      </c>
      <c r="V353" s="2" t="n">
        <v>18855</v>
      </c>
      <c r="W353" s="2" t="n">
        <v>19645</v>
      </c>
      <c r="X353" s="2" t="n">
        <v>12835</v>
      </c>
      <c r="Y353" s="2" t="n">
        <v>3810</v>
      </c>
      <c r="AA353" s="2" t="n">
        <v>212.27</v>
      </c>
      <c r="AB353" s="2" t="n">
        <v>26.31</v>
      </c>
      <c r="AC353" s="2" t="n">
        <v>69.03</v>
      </c>
      <c r="AD353" s="2" t="n">
        <v>421.61</v>
      </c>
      <c r="AE353" s="2" t="n">
        <v>196.5</v>
      </c>
      <c r="AF353" s="2" t="n">
        <v>104119.2</v>
      </c>
      <c r="AG353" s="2" t="n">
        <v>2680.05</v>
      </c>
    </row>
    <row r="354" ht="16" customHeight="1">
      <c r="A354" s="2" t="inlineStr">
        <is>
          <t>05/12/2025</t>
        </is>
      </c>
      <c r="B354" s="2" t="n">
        <v>110240</v>
      </c>
      <c r="C354" s="2" t="n">
        <v>1069550</v>
      </c>
      <c r="D354" s="2" t="n">
        <v>1043730</v>
      </c>
      <c r="E354" s="2" t="n">
        <v>100.48</v>
      </c>
      <c r="F354" s="2" t="n">
        <v>94.38</v>
      </c>
      <c r="G354" s="2" t="n"/>
      <c r="H354" s="2" t="n"/>
      <c r="I354" s="2" t="n">
        <v>95.66</v>
      </c>
      <c r="J354" s="2" t="n">
        <v>1411</v>
      </c>
      <c r="K354" s="2" t="n">
        <v>1417.03</v>
      </c>
      <c r="L354" s="2" t="n">
        <v>20840</v>
      </c>
      <c r="M354" s="2" t="n"/>
      <c r="N354" s="2" t="n">
        <v>9570</v>
      </c>
      <c r="O354" s="2" t="n"/>
      <c r="P354" s="2" t="n">
        <v>54.87</v>
      </c>
      <c r="Q354" s="2" t="n">
        <v>49.73</v>
      </c>
      <c r="R354" s="2" t="n">
        <v>12505</v>
      </c>
      <c r="S354" s="2" t="n">
        <v>11975</v>
      </c>
      <c r="T354" s="2" t="n">
        <v>20230</v>
      </c>
      <c r="U354" s="2" t="n">
        <v>19470</v>
      </c>
      <c r="V354" s="2" t="n">
        <v>18415</v>
      </c>
      <c r="W354" s="2" t="n">
        <v>19180</v>
      </c>
      <c r="X354" s="2" t="n">
        <v>12650</v>
      </c>
      <c r="Y354" s="2" t="n">
        <v>3830</v>
      </c>
      <c r="AA354" s="2" t="n">
        <v>209.07</v>
      </c>
      <c r="AB354" s="2" t="n">
        <v>26.43</v>
      </c>
      <c r="AC354" s="2" t="n">
        <v>68.56</v>
      </c>
      <c r="AD354" s="2" t="n">
        <v>404.9</v>
      </c>
      <c r="AE354" s="2" t="n">
        <v>197.08</v>
      </c>
      <c r="AF354" s="2" t="n">
        <v>102795</v>
      </c>
      <c r="AG354" s="2" t="n">
        <v>2495.73</v>
      </c>
    </row>
    <row r="355" ht="16" customHeight="1">
      <c r="A355" s="2" t="inlineStr">
        <is>
          <t>05/11/2025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>
        <v>1397</v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AA355" s="2" t="n"/>
      <c r="AB355" s="2" t="n"/>
      <c r="AC355" s="2" t="n"/>
      <c r="AD355" s="2" t="n"/>
      <c r="AE355" s="2" t="n"/>
      <c r="AF355" s="2" t="n">
        <v>104119.2</v>
      </c>
      <c r="AG355" s="2" t="n">
        <v>2515.22</v>
      </c>
    </row>
    <row r="356" ht="16" customHeight="1">
      <c r="A356" s="2" t="inlineStr">
        <is>
          <t>05/10/2025</t>
        </is>
      </c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>
        <v>1386</v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AA356" s="2" t="n"/>
      <c r="AB356" s="2" t="n"/>
      <c r="AC356" s="2" t="n"/>
      <c r="AD356" s="2" t="n"/>
      <c r="AE356" s="2" t="n"/>
      <c r="AF356" s="2" t="n">
        <v>104798</v>
      </c>
      <c r="AG356" s="2" t="n">
        <v>2583.78</v>
      </c>
    </row>
    <row r="357" ht="16" customHeight="1">
      <c r="A357" s="2" t="inlineStr">
        <is>
          <t>05/09/2025</t>
        </is>
      </c>
      <c r="B357" s="2" t="n">
        <v>110230</v>
      </c>
      <c r="C357" s="2" t="n">
        <v>1069465</v>
      </c>
      <c r="D357" s="2" t="n">
        <v>1043645</v>
      </c>
      <c r="E357" s="2" t="n">
        <v>100.48</v>
      </c>
      <c r="F357" s="2" t="n">
        <v>92.65000000000001</v>
      </c>
      <c r="G357" s="2" t="n"/>
      <c r="H357" s="2" t="n"/>
      <c r="I357" s="2" t="n">
        <v>93.97</v>
      </c>
      <c r="J357" s="2" t="n">
        <v>1397</v>
      </c>
      <c r="K357" s="2" t="n">
        <v>1396.16</v>
      </c>
      <c r="L357" s="2" t="n">
        <v>21115</v>
      </c>
      <c r="M357" s="2" t="n"/>
      <c r="N357" s="2" t="n">
        <v>9670</v>
      </c>
      <c r="O357" s="2" t="n"/>
      <c r="P357" s="2" t="n">
        <v>55.36</v>
      </c>
      <c r="Q357" s="2" t="n">
        <v>50.02</v>
      </c>
      <c r="R357" s="2" t="n">
        <v>12340</v>
      </c>
      <c r="S357" s="2" t="n">
        <v>11960</v>
      </c>
      <c r="T357" s="2" t="n">
        <v>19925</v>
      </c>
      <c r="U357" s="2" t="n">
        <v>19180</v>
      </c>
      <c r="V357" s="2" t="n">
        <v>18135</v>
      </c>
      <c r="W357" s="2" t="n">
        <v>18790</v>
      </c>
      <c r="X357" s="2" t="n">
        <v>12575</v>
      </c>
      <c r="Y357" s="2" t="n">
        <v>3775</v>
      </c>
      <c r="AA357" s="2" t="n">
        <v>200.96</v>
      </c>
      <c r="AB357" s="2" t="n">
        <v>25.73</v>
      </c>
      <c r="AC357" s="2" t="n">
        <v>66.38</v>
      </c>
      <c r="AD357" s="2" t="n">
        <v>416.03</v>
      </c>
      <c r="AE357" s="2" t="n">
        <v>192.23</v>
      </c>
      <c r="AF357" s="2" t="n">
        <v>102975.1</v>
      </c>
      <c r="AG357" s="2" t="n">
        <v>2345.27</v>
      </c>
    </row>
    <row r="358" ht="16" customHeight="1">
      <c r="A358" s="2" t="inlineStr">
        <is>
          <t>05/08/2025</t>
        </is>
      </c>
      <c r="B358" s="2" t="n">
        <v>110210</v>
      </c>
      <c r="C358" s="2" t="n">
        <v>1069385</v>
      </c>
      <c r="D358" s="2" t="n">
        <v>1043550</v>
      </c>
      <c r="E358" s="2" t="n">
        <v>100.45</v>
      </c>
      <c r="F358" s="2" t="n">
        <v>91.94</v>
      </c>
      <c r="G358" s="2" t="n"/>
      <c r="H358" s="2" t="n"/>
      <c r="I358" s="2" t="n">
        <v>94.3</v>
      </c>
      <c r="J358" s="2" t="n">
        <v>1405</v>
      </c>
      <c r="K358" s="2" t="n">
        <v>1404.82</v>
      </c>
      <c r="L358" s="2" t="n">
        <v>21275</v>
      </c>
      <c r="M358" s="2" t="n"/>
      <c r="N358" s="2" t="n">
        <v>9660</v>
      </c>
      <c r="O358" s="2" t="n"/>
      <c r="P358" s="2" t="n">
        <v>55.27</v>
      </c>
      <c r="Q358" s="2" t="n">
        <v>49.99</v>
      </c>
      <c r="R358" s="2" t="n">
        <v>12455</v>
      </c>
      <c r="S358" s="2" t="n">
        <v>12095</v>
      </c>
      <c r="T358" s="2" t="n">
        <v>19865</v>
      </c>
      <c r="U358" s="2" t="n">
        <v>19190</v>
      </c>
      <c r="V358" s="2" t="n">
        <v>18090</v>
      </c>
      <c r="W358" s="2" t="n">
        <v>18685</v>
      </c>
      <c r="X358" s="2" t="n">
        <v>12550</v>
      </c>
      <c r="Y358" s="2" t="n">
        <v>3795</v>
      </c>
      <c r="AA358" s="2" t="n">
        <v>201.03</v>
      </c>
      <c r="AB358" s="2" t="n">
        <v>25.78</v>
      </c>
      <c r="AC358" s="2" t="n">
        <v>66.45</v>
      </c>
      <c r="AD358" s="2" t="n">
        <v>414.38</v>
      </c>
      <c r="AE358" s="2" t="n">
        <v>192.72</v>
      </c>
      <c r="AF358" s="2" t="n">
        <v>103274.3</v>
      </c>
      <c r="AG358" s="2" t="n">
        <v>2206.13</v>
      </c>
    </row>
    <row r="359" ht="16" customHeight="1">
      <c r="A359" s="2" t="inlineStr">
        <is>
          <t>05/07/2025</t>
        </is>
      </c>
      <c r="B359" s="2" t="n">
        <v>110205</v>
      </c>
      <c r="C359" s="2" t="n">
        <v>1069155</v>
      </c>
      <c r="D359" s="2" t="n">
        <v>1043335</v>
      </c>
      <c r="E359" s="2" t="n">
        <v>100.42</v>
      </c>
      <c r="F359" s="2" t="n">
        <v>90.55</v>
      </c>
      <c r="G359" s="2" t="n"/>
      <c r="H359" s="2" t="n"/>
      <c r="I359" s="2" t="n">
        <v>93.84999999999999</v>
      </c>
      <c r="J359" s="2" t="n">
        <v>1420</v>
      </c>
      <c r="K359" s="2" t="n">
        <v>1398.38</v>
      </c>
      <c r="L359" s="2" t="n">
        <v>21515</v>
      </c>
      <c r="M359" s="2" t="n"/>
      <c r="N359" s="2" t="n">
        <v>9670</v>
      </c>
      <c r="O359" s="2" t="n"/>
      <c r="P359" s="2" t="n">
        <v>55.86</v>
      </c>
      <c r="Q359" s="2" t="n">
        <v>50.05</v>
      </c>
      <c r="R359" s="2" t="n">
        <v>12400</v>
      </c>
      <c r="S359" s="2" t="n">
        <v>12015</v>
      </c>
      <c r="T359" s="2" t="n">
        <v>19755</v>
      </c>
      <c r="U359" s="2" t="n">
        <v>19185</v>
      </c>
      <c r="V359" s="2" t="n">
        <v>17975</v>
      </c>
      <c r="W359" s="2" t="n">
        <v>18550</v>
      </c>
      <c r="X359" s="2" t="n">
        <v>12555</v>
      </c>
      <c r="Y359" s="2" t="n">
        <v>3775</v>
      </c>
      <c r="AA359" s="2" t="n">
        <v>199.02</v>
      </c>
      <c r="AB359" s="2" t="n">
        <v>25.64</v>
      </c>
      <c r="AC359" s="2" t="n">
        <v>66.02</v>
      </c>
      <c r="AD359" s="2" t="n">
        <v>392.48</v>
      </c>
      <c r="AE359" s="2" t="n">
        <v>192</v>
      </c>
      <c r="AF359" s="2" t="n">
        <v>97035.10000000001</v>
      </c>
      <c r="AG359" s="2" t="n">
        <v>1811.2</v>
      </c>
    </row>
    <row r="360" ht="16" customHeight="1">
      <c r="A360" s="2" t="inlineStr">
        <is>
          <t>05/06/2025</t>
        </is>
      </c>
      <c r="B360" s="2" t="n"/>
      <c r="C360" s="2" t="n"/>
      <c r="D360" s="2" t="n"/>
      <c r="E360" s="2" t="n">
        <v>100.41</v>
      </c>
      <c r="F360" s="2" t="n">
        <v>90.41</v>
      </c>
      <c r="G360" s="2" t="n"/>
      <c r="H360" s="2" t="n"/>
      <c r="I360" s="2" t="n">
        <v>93.55</v>
      </c>
      <c r="J360" s="2" t="n">
        <v>1420</v>
      </c>
      <c r="K360" s="2" t="n">
        <v>1375.79</v>
      </c>
      <c r="L360" s="2" t="n"/>
      <c r="M360" s="2" t="n"/>
      <c r="N360" s="2" t="n"/>
      <c r="O360" s="2" t="n"/>
      <c r="P360" s="2" t="n">
        <v>55.62</v>
      </c>
      <c r="Q360" s="2" t="n">
        <v>50.02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AA360" s="2" t="n">
        <v>198.21</v>
      </c>
      <c r="AB360" s="2" t="n">
        <v>25.55</v>
      </c>
      <c r="AC360" s="2" t="n">
        <v>65.73999999999999</v>
      </c>
      <c r="AD360" s="2" t="n">
        <v>385.6</v>
      </c>
      <c r="AE360" s="2" t="n">
        <v>190.77</v>
      </c>
      <c r="AF360" s="2" t="n">
        <v>96825.39999999999</v>
      </c>
      <c r="AG360" s="2" t="n">
        <v>1816.6</v>
      </c>
    </row>
    <row r="361" ht="16" customHeight="1">
      <c r="A361" s="2" t="inlineStr">
        <is>
          <t>05/05/2025</t>
        </is>
      </c>
      <c r="B361" s="2" t="n"/>
      <c r="C361" s="2" t="n"/>
      <c r="D361" s="2" t="n"/>
      <c r="E361" s="2" t="n">
        <v>100.41</v>
      </c>
      <c r="F361" s="2" t="n">
        <v>90.25</v>
      </c>
      <c r="G361" s="2" t="n"/>
      <c r="H361" s="2" t="n"/>
      <c r="I361" s="2" t="n">
        <v>92.89</v>
      </c>
      <c r="J361" s="2" t="n">
        <v>1424</v>
      </c>
      <c r="K361" s="2" t="n">
        <v>1375.36</v>
      </c>
      <c r="L361" s="2" t="n"/>
      <c r="M361" s="2" t="n"/>
      <c r="N361" s="2" t="n"/>
      <c r="O361" s="2" t="n"/>
      <c r="P361" s="2" t="n">
        <v>55.48</v>
      </c>
      <c r="Q361" s="2" t="n">
        <v>49.95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AA361" s="2" t="n">
        <v>200.12</v>
      </c>
      <c r="AB361" s="2" t="n">
        <v>25.8</v>
      </c>
      <c r="AC361" s="2" t="n">
        <v>66.29000000000001</v>
      </c>
      <c r="AD361" s="2" t="n">
        <v>386.53</v>
      </c>
      <c r="AE361" s="2" t="n">
        <v>192.43</v>
      </c>
      <c r="AF361" s="2" t="n">
        <v>94745.2</v>
      </c>
      <c r="AG361" s="2" t="n">
        <v>1820.34</v>
      </c>
    </row>
    <row r="362" ht="16" customHeight="1">
      <c r="A362" s="2" t="inlineStr">
        <is>
          <t>05/04/2025</t>
        </is>
      </c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>
        <v>1439</v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AA362" s="2" t="n"/>
      <c r="AB362" s="2" t="n"/>
      <c r="AC362" s="2" t="n"/>
      <c r="AD362" s="2" t="n"/>
      <c r="AE362" s="2" t="n"/>
      <c r="AF362" s="2" t="n">
        <v>94316.89999999999</v>
      </c>
      <c r="AG362" s="2" t="n">
        <v>1809.05</v>
      </c>
    </row>
    <row r="363" ht="16" customHeight="1">
      <c r="A363" s="2" t="inlineStr">
        <is>
          <t>05/03/2025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>
        <v>1435</v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AA363" s="2" t="n"/>
      <c r="AB363" s="2" t="n"/>
      <c r="AC363" s="2" t="n"/>
      <c r="AD363" s="2" t="n"/>
      <c r="AE363" s="2" t="n"/>
      <c r="AF363" s="2" t="n">
        <v>95885.8</v>
      </c>
      <c r="AG363" s="2" t="n">
        <v>1833.93</v>
      </c>
    </row>
    <row r="364" ht="16" customHeight="1">
      <c r="A364" s="2" t="inlineStr">
        <is>
          <t>05/02/2025</t>
        </is>
      </c>
      <c r="B364" s="2" t="n">
        <v>110195</v>
      </c>
      <c r="C364" s="2" t="n">
        <v>1069075</v>
      </c>
      <c r="D364" s="2" t="n">
        <v>1043255</v>
      </c>
      <c r="E364" s="2" t="n">
        <v>100.4</v>
      </c>
      <c r="F364" s="2" t="n">
        <v>90.97</v>
      </c>
      <c r="G364" s="2" t="n"/>
      <c r="H364" s="2" t="n"/>
      <c r="I364" s="2" t="n">
        <v>93.8</v>
      </c>
      <c r="J364" s="2" t="n">
        <v>1431</v>
      </c>
      <c r="K364" s="2" t="n">
        <v>1399.9</v>
      </c>
      <c r="L364" s="2" t="n">
        <v>20965</v>
      </c>
      <c r="M364" s="2" t="n"/>
      <c r="N364" s="2" t="n">
        <v>9845</v>
      </c>
      <c r="O364" s="2" t="n"/>
      <c r="P364" s="2" t="n">
        <v>55.74</v>
      </c>
      <c r="Q364" s="2" t="n">
        <v>49.96</v>
      </c>
      <c r="R364" s="2" t="n">
        <v>12300</v>
      </c>
      <c r="S364" s="2" t="n">
        <v>12075</v>
      </c>
      <c r="T364" s="2" t="n">
        <v>19895</v>
      </c>
      <c r="U364" s="2" t="n">
        <v>19030</v>
      </c>
      <c r="V364" s="2" t="n">
        <v>18105</v>
      </c>
      <c r="W364" s="2" t="n">
        <v>18600</v>
      </c>
      <c r="X364" s="2" t="n">
        <v>12630</v>
      </c>
      <c r="Y364" s="2" t="n">
        <v>3640</v>
      </c>
      <c r="AA364" s="2" t="n">
        <v>201.24</v>
      </c>
      <c r="AB364" s="2" t="n">
        <v>26.06</v>
      </c>
      <c r="AC364" s="2" t="n">
        <v>66.64</v>
      </c>
      <c r="AD364" s="2" t="n">
        <v>394.37</v>
      </c>
      <c r="AE364" s="2" t="n">
        <v>193.02</v>
      </c>
      <c r="AF364" s="2" t="n">
        <v>96894.39999999999</v>
      </c>
      <c r="AG364" s="2" t="n">
        <v>1842.06</v>
      </c>
    </row>
    <row r="365" ht="16" customHeight="1">
      <c r="A365" s="2" t="inlineStr">
        <is>
          <t>05/01/2025</t>
        </is>
      </c>
      <c r="B365" s="2" t="n"/>
      <c r="C365" s="2" t="n"/>
      <c r="D365" s="2" t="n"/>
      <c r="E365" s="2" t="n">
        <v>100.37</v>
      </c>
      <c r="F365" s="2" t="n">
        <v>89.5</v>
      </c>
      <c r="G365" s="2" t="n"/>
      <c r="H365" s="2" t="n"/>
      <c r="I365" s="2" t="n">
        <v>92.15000000000001</v>
      </c>
      <c r="J365" s="2" t="n">
        <v>1442</v>
      </c>
      <c r="K365" s="2" t="n">
        <v>1436.09</v>
      </c>
      <c r="L365" s="2" t="n"/>
      <c r="M365" s="2" t="n"/>
      <c r="N365" s="2" t="n"/>
      <c r="O365" s="2" t="n"/>
      <c r="P365" s="2" t="n">
        <v>56.3</v>
      </c>
      <c r="Q365" s="2" t="n">
        <v>50.13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AA365" s="2" t="n">
        <v>198.15</v>
      </c>
      <c r="AB365" s="2" t="n">
        <v>25.71</v>
      </c>
      <c r="AC365" s="2" t="n">
        <v>65.69</v>
      </c>
      <c r="AD365" s="2" t="n">
        <v>381.6</v>
      </c>
      <c r="AE365" s="2" t="n">
        <v>190.18</v>
      </c>
      <c r="AF365" s="2" t="n">
        <v>96499.3</v>
      </c>
      <c r="AG365" s="2" t="n">
        <v>1838.32</v>
      </c>
    </row>
    <row r="366" ht="16" customHeight="1">
      <c r="A366" s="2" t="inlineStr">
        <is>
          <t>04/30/2025</t>
        </is>
      </c>
      <c r="B366" s="2" t="n">
        <v>110150</v>
      </c>
      <c r="C366" s="2" t="n">
        <v>1068995</v>
      </c>
      <c r="D366" s="2" t="n">
        <v>1043170</v>
      </c>
      <c r="E366" s="2" t="n">
        <v>100.69</v>
      </c>
      <c r="F366" s="2" t="n">
        <v>89.5</v>
      </c>
      <c r="G366" s="2" t="n"/>
      <c r="H366" s="2" t="n"/>
      <c r="I366" s="2" t="n">
        <v>91.65000000000001</v>
      </c>
      <c r="J366" s="2" t="n">
        <v>1444</v>
      </c>
      <c r="K366" s="2" t="n">
        <v>1424.69</v>
      </c>
      <c r="L366" s="2" t="n">
        <v>21415</v>
      </c>
      <c r="M366" s="2" t="n"/>
      <c r="N366" s="2" t="n">
        <v>10045</v>
      </c>
      <c r="O366" s="2" t="n"/>
      <c r="P366" s="2" t="n">
        <v>56.84</v>
      </c>
      <c r="Q366" s="2" t="n">
        <v>50.21</v>
      </c>
      <c r="R366" s="2" t="n">
        <v>12115</v>
      </c>
      <c r="S366" s="2" t="n">
        <v>11940</v>
      </c>
      <c r="T366" s="2" t="n">
        <v>19780</v>
      </c>
      <c r="U366" s="2" t="n">
        <v>19020</v>
      </c>
      <c r="V366" s="2" t="n">
        <v>18005</v>
      </c>
      <c r="W366" s="2" t="n">
        <v>18460</v>
      </c>
      <c r="X366" s="2" t="n">
        <v>12700</v>
      </c>
      <c r="Y366" s="2" t="n">
        <v>3775</v>
      </c>
      <c r="AA366" s="2" t="n">
        <v>195.85</v>
      </c>
      <c r="AB366" s="2" t="n">
        <v>25.82</v>
      </c>
      <c r="AC366" s="2" t="n">
        <v>65.2</v>
      </c>
      <c r="AD366" s="2" t="n">
        <v>380.11</v>
      </c>
      <c r="AE366" s="2" t="n">
        <v>191.03</v>
      </c>
      <c r="AF366" s="2" t="n">
        <v>94184.39999999999</v>
      </c>
      <c r="AG366" s="2" t="n">
        <v>1793.58</v>
      </c>
    </row>
    <row r="367" ht="16" customHeight="1">
      <c r="A367" s="2" t="inlineStr">
        <is>
          <t>04/29/2025</t>
        </is>
      </c>
      <c r="B367" s="2" t="n">
        <v>110130</v>
      </c>
      <c r="C367" s="2" t="n">
        <v>1068605</v>
      </c>
      <c r="D367" s="2" t="n">
        <v>1042780</v>
      </c>
      <c r="E367" s="2" t="n">
        <v>100.66</v>
      </c>
      <c r="F367" s="2" t="n">
        <v>89</v>
      </c>
      <c r="G367" s="2" t="n"/>
      <c r="H367" s="2" t="n"/>
      <c r="I367" s="2" t="n">
        <v>91.84999999999999</v>
      </c>
      <c r="J367" s="2" t="n">
        <v>1446</v>
      </c>
      <c r="K367" s="2" t="n">
        <v>1432.14</v>
      </c>
      <c r="L367" s="2" t="n">
        <v>21540</v>
      </c>
      <c r="M367" s="2" t="n"/>
      <c r="N367" s="2" t="n">
        <v>10085</v>
      </c>
      <c r="O367" s="2" t="n"/>
      <c r="P367" s="2" t="n">
        <v>57.16</v>
      </c>
      <c r="Q367" s="2" t="n">
        <v>50.14</v>
      </c>
      <c r="R367" s="2" t="n">
        <v>12185</v>
      </c>
      <c r="S367" s="2" t="n">
        <v>12125</v>
      </c>
      <c r="T367" s="2" t="n">
        <v>19945</v>
      </c>
      <c r="U367" s="2" t="n">
        <v>19040</v>
      </c>
      <c r="V367" s="2" t="n">
        <v>18150</v>
      </c>
      <c r="W367" s="2" t="n">
        <v>18645</v>
      </c>
      <c r="X367" s="2" t="n">
        <v>12815</v>
      </c>
      <c r="Y367" s="2" t="n">
        <v>3765</v>
      </c>
      <c r="AA367" s="2" t="n">
        <v>195.81</v>
      </c>
      <c r="AB367" s="2" t="n">
        <v>25.89</v>
      </c>
      <c r="AC367" s="2" t="n">
        <v>65.17</v>
      </c>
      <c r="AD367" s="2" t="n">
        <v>381.45</v>
      </c>
      <c r="AE367" s="2" t="n">
        <v>190.18</v>
      </c>
      <c r="AF367" s="2" t="n">
        <v>94269.8</v>
      </c>
      <c r="AG367" s="2" t="n">
        <v>1798.47</v>
      </c>
    </row>
    <row r="368" ht="16" customHeight="1">
      <c r="A368" s="2" t="inlineStr">
        <is>
          <t>04/28/2025</t>
        </is>
      </c>
      <c r="B368" s="2" t="n">
        <v>110130</v>
      </c>
      <c r="C368" s="2" t="n">
        <v>1068450</v>
      </c>
      <c r="D368" s="2" t="n">
        <v>1042635</v>
      </c>
      <c r="E368" s="2" t="n">
        <v>100.65</v>
      </c>
      <c r="F368" s="2" t="n">
        <v>86.59999999999999</v>
      </c>
      <c r="G368" s="2" t="n"/>
      <c r="H368" s="2" t="n"/>
      <c r="I368" s="2" t="n">
        <v>91.65000000000001</v>
      </c>
      <c r="J368" s="2" t="n">
        <v>1441</v>
      </c>
      <c r="K368" s="2" t="n">
        <v>1436.84</v>
      </c>
      <c r="L368" s="2" t="n">
        <v>21405</v>
      </c>
      <c r="M368" s="2" t="n"/>
      <c r="N368" s="2" t="n">
        <v>10115</v>
      </c>
      <c r="O368" s="2" t="n"/>
      <c r="P368" s="2" t="n">
        <v>56.72</v>
      </c>
      <c r="Q368" s="2" t="n">
        <v>50.13</v>
      </c>
      <c r="R368" s="2" t="n">
        <v>12160</v>
      </c>
      <c r="S368" s="2" t="n">
        <v>12030</v>
      </c>
      <c r="T368" s="2" t="n">
        <v>19980</v>
      </c>
      <c r="U368" s="2" t="n">
        <v>18920</v>
      </c>
      <c r="V368" s="2" t="n">
        <v>18180</v>
      </c>
      <c r="W368" s="2" t="n">
        <v>18655</v>
      </c>
      <c r="X368" s="2" t="n">
        <v>12830</v>
      </c>
      <c r="Y368" s="2" t="n">
        <v>3700</v>
      </c>
      <c r="AA368" s="2" t="n">
        <v>194.51</v>
      </c>
      <c r="AB368" s="2" t="n">
        <v>25.79</v>
      </c>
      <c r="AC368" s="2" t="n">
        <v>64.8</v>
      </c>
      <c r="AD368" s="2" t="n">
        <v>369.25</v>
      </c>
      <c r="AE368" s="2" t="n">
        <v>189.04</v>
      </c>
      <c r="AF368" s="2" t="n">
        <v>94995</v>
      </c>
      <c r="AG368" s="2" t="n">
        <v>1799.24</v>
      </c>
    </row>
    <row r="369" ht="16" customHeight="1">
      <c r="A369" s="2" t="inlineStr">
        <is>
          <t>04/27/2025</t>
        </is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>
        <v>1443</v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AA369" s="2" t="n"/>
      <c r="AB369" s="2" t="n"/>
      <c r="AC369" s="2" t="n"/>
      <c r="AD369" s="2" t="n"/>
      <c r="AE369" s="2" t="n"/>
      <c r="AF369" s="2" t="n">
        <v>93742.5</v>
      </c>
      <c r="AG369" s="2" t="n">
        <v>1791.42</v>
      </c>
    </row>
    <row r="370" ht="16" customHeight="1">
      <c r="A370" s="2" t="inlineStr">
        <is>
          <t>04/26/2025</t>
        </is>
      </c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>
        <v>1443</v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AA370" s="2" t="n"/>
      <c r="AB370" s="2" t="n"/>
      <c r="AC370" s="2" t="n"/>
      <c r="AD370" s="2" t="n"/>
      <c r="AE370" s="2" t="n"/>
      <c r="AF370" s="2" t="n">
        <v>94631.39999999999</v>
      </c>
      <c r="AG370" s="2" t="n">
        <v>1820.65</v>
      </c>
    </row>
    <row r="371" ht="16" customHeight="1">
      <c r="A371" s="2" t="inlineStr">
        <is>
          <t>04/25/2025</t>
        </is>
      </c>
      <c r="B371" s="2" t="n">
        <v>110120</v>
      </c>
      <c r="C371" s="2" t="n">
        <v>1068370</v>
      </c>
      <c r="D371" s="2" t="n">
        <v>1042555</v>
      </c>
      <c r="E371" s="2" t="n">
        <v>100.65</v>
      </c>
      <c r="F371" s="2" t="n">
        <v>86.68000000000001</v>
      </c>
      <c r="G371" s="2" t="n"/>
      <c r="H371" s="2" t="n"/>
      <c r="I371" s="2" t="n">
        <v>91.40000000000001</v>
      </c>
      <c r="J371" s="2" t="n">
        <v>1445</v>
      </c>
      <c r="K371" s="2" t="n">
        <v>1438.36</v>
      </c>
      <c r="L371" s="2" t="n">
        <v>21485</v>
      </c>
      <c r="M371" s="2" t="n"/>
      <c r="N371" s="2" t="n">
        <v>10040</v>
      </c>
      <c r="O371" s="2" t="n"/>
      <c r="P371" s="2" t="n">
        <v>56.41</v>
      </c>
      <c r="Q371" s="2" t="n">
        <v>50.02</v>
      </c>
      <c r="R371" s="2" t="n">
        <v>12220</v>
      </c>
      <c r="S371" s="2" t="n">
        <v>12190</v>
      </c>
      <c r="T371" s="2" t="n">
        <v>19930</v>
      </c>
      <c r="U371" s="2" t="n">
        <v>18940</v>
      </c>
      <c r="V371" s="2" t="n">
        <v>18135</v>
      </c>
      <c r="W371" s="2" t="n">
        <v>18555</v>
      </c>
      <c r="X371" s="2" t="n">
        <v>12785</v>
      </c>
      <c r="Y371" s="2" t="n">
        <v>3750</v>
      </c>
      <c r="AA371" s="2" t="n">
        <v>194.56</v>
      </c>
      <c r="AB371" s="2" t="n">
        <v>25.67</v>
      </c>
      <c r="AC371" s="2" t="n">
        <v>64.73999999999999</v>
      </c>
      <c r="AD371" s="2" t="n">
        <v>368.71</v>
      </c>
      <c r="AE371" s="2" t="n">
        <v>188.66</v>
      </c>
      <c r="AF371" s="2" t="n">
        <v>94676.89999999999</v>
      </c>
      <c r="AG371" s="2" t="n">
        <v>1785.96</v>
      </c>
    </row>
    <row r="372" ht="16" customHeight="1">
      <c r="A372" s="2" t="inlineStr">
        <is>
          <t>04/24/2025</t>
        </is>
      </c>
      <c r="B372" s="2" t="n">
        <v>110090</v>
      </c>
      <c r="C372" s="2" t="n">
        <v>1068290</v>
      </c>
      <c r="D372" s="2" t="n">
        <v>1042470</v>
      </c>
      <c r="E372" s="2" t="n">
        <v>100.61</v>
      </c>
      <c r="F372" s="2" t="n">
        <v>85.86</v>
      </c>
      <c r="G372" s="2" t="n"/>
      <c r="H372" s="2" t="n"/>
      <c r="I372" s="2" t="n">
        <v>91.47</v>
      </c>
      <c r="J372" s="2" t="n">
        <v>1435</v>
      </c>
      <c r="K372" s="2" t="n">
        <v>1431.04</v>
      </c>
      <c r="L372" s="2" t="n">
        <v>21695</v>
      </c>
      <c r="M372" s="2" t="n"/>
      <c r="N372" s="2" t="n">
        <v>9885</v>
      </c>
      <c r="O372" s="2" t="n"/>
      <c r="P372" s="2" t="n">
        <v>56.04</v>
      </c>
      <c r="Q372" s="2" t="n">
        <v>49.99</v>
      </c>
      <c r="R372" s="2" t="n">
        <v>12140</v>
      </c>
      <c r="S372" s="2" t="n">
        <v>12200</v>
      </c>
      <c r="T372" s="2" t="n">
        <v>19385</v>
      </c>
      <c r="U372" s="2" t="n">
        <v>18730</v>
      </c>
      <c r="V372" s="2" t="n">
        <v>17650</v>
      </c>
      <c r="W372" s="2" t="n">
        <v>17895</v>
      </c>
      <c r="X372" s="2" t="n">
        <v>12665</v>
      </c>
      <c r="Y372" s="2" t="n">
        <v>3795</v>
      </c>
      <c r="AA372" s="2" t="n">
        <v>192.38</v>
      </c>
      <c r="AB372" s="2" t="n">
        <v>25.71</v>
      </c>
      <c r="AC372" s="2" t="n">
        <v>64.28</v>
      </c>
      <c r="AD372" s="2" t="n">
        <v>350.34</v>
      </c>
      <c r="AE372" s="2" t="n">
        <v>188.35</v>
      </c>
      <c r="AF372" s="2" t="n">
        <v>93980.3</v>
      </c>
      <c r="AG372" s="2" t="n">
        <v>1769.53</v>
      </c>
    </row>
    <row r="373" ht="16" customHeight="1">
      <c r="A373" s="2" t="inlineStr">
        <is>
          <t>04/23/2025</t>
        </is>
      </c>
      <c r="B373" s="2" t="n">
        <v>110080</v>
      </c>
      <c r="C373" s="2" t="n">
        <v>1068065</v>
      </c>
      <c r="D373" s="2" t="n">
        <v>1042240</v>
      </c>
      <c r="E373" s="2" t="n">
        <v>100.61</v>
      </c>
      <c r="F373" s="2" t="n">
        <v>85.56999999999999</v>
      </c>
      <c r="G373" s="2" t="n"/>
      <c r="H373" s="2" t="n"/>
      <c r="I373" s="2" t="n">
        <v>91.08</v>
      </c>
      <c r="J373" s="2" t="n">
        <v>1434</v>
      </c>
      <c r="K373" s="2" t="n">
        <v>1427.42</v>
      </c>
      <c r="L373" s="2" t="n">
        <v>21390</v>
      </c>
      <c r="M373" s="2" t="n"/>
      <c r="N373" s="2" t="n">
        <v>9800</v>
      </c>
      <c r="O373" s="2" t="n"/>
      <c r="P373" s="2" t="n">
        <v>55.51</v>
      </c>
      <c r="Q373" s="2" t="n">
        <v>49.85</v>
      </c>
      <c r="R373" s="2" t="n">
        <v>12245</v>
      </c>
      <c r="S373" s="2" t="n">
        <v>12210</v>
      </c>
      <c r="T373" s="2" t="n">
        <v>19225</v>
      </c>
      <c r="U373" s="2" t="n">
        <v>18770</v>
      </c>
      <c r="V373" s="2" t="n">
        <v>17500</v>
      </c>
      <c r="W373" s="2" t="n">
        <v>17700</v>
      </c>
      <c r="X373" s="2" t="n">
        <v>12560</v>
      </c>
      <c r="Y373" s="2" t="n">
        <v>3650</v>
      </c>
      <c r="AA373" s="2" t="n">
        <v>187.07</v>
      </c>
      <c r="AB373" s="2" t="n">
        <v>25.42</v>
      </c>
      <c r="AC373" s="2" t="n">
        <v>62.97</v>
      </c>
      <c r="AD373" s="2" t="n">
        <v>345.73</v>
      </c>
      <c r="AE373" s="2" t="n">
        <v>185.83</v>
      </c>
      <c r="AF373" s="2" t="n">
        <v>93697.7</v>
      </c>
      <c r="AG373" s="2" t="n">
        <v>1795.07</v>
      </c>
    </row>
    <row r="374" ht="16" customHeight="1">
      <c r="A374" s="2" t="inlineStr">
        <is>
          <t>04/22/2025</t>
        </is>
      </c>
      <c r="B374" s="2" t="n">
        <v>110075</v>
      </c>
      <c r="C374" s="2" t="n">
        <v>1067985</v>
      </c>
      <c r="D374" s="2" t="n">
        <v>1042160</v>
      </c>
      <c r="E374" s="2" t="n">
        <v>100.58</v>
      </c>
      <c r="F374" s="2" t="n">
        <v>86.31</v>
      </c>
      <c r="G374" s="2" t="n"/>
      <c r="H374" s="2" t="n"/>
      <c r="I374" s="2" t="n">
        <v>91.84999999999999</v>
      </c>
      <c r="J374" s="2" t="n">
        <v>1435</v>
      </c>
      <c r="K374" s="2" t="n">
        <v>1430.19</v>
      </c>
      <c r="L374" s="2" t="n">
        <v>22510</v>
      </c>
      <c r="M374" s="2" t="n"/>
      <c r="N374" s="2" t="n">
        <v>9625</v>
      </c>
      <c r="O374" s="2" t="n"/>
      <c r="P374" s="2" t="n">
        <v>55.01</v>
      </c>
      <c r="Q374" s="2" t="n">
        <v>49.87</v>
      </c>
      <c r="R374" s="2" t="n">
        <v>11925</v>
      </c>
      <c r="S374" s="2" t="n">
        <v>11965</v>
      </c>
      <c r="T374" s="2" t="n">
        <v>18550</v>
      </c>
      <c r="U374" s="2" t="n">
        <v>18425</v>
      </c>
      <c r="V374" s="2" t="n">
        <v>16885</v>
      </c>
      <c r="W374" s="2" t="n">
        <v>17010</v>
      </c>
      <c r="X374" s="2" t="n">
        <v>12420</v>
      </c>
      <c r="Y374" s="2" t="n">
        <v>3695</v>
      </c>
      <c r="AA374" s="2" t="n">
        <v>183</v>
      </c>
      <c r="AB374" s="2" t="n">
        <v>25.44</v>
      </c>
      <c r="AC374" s="2" t="n">
        <v>61.97</v>
      </c>
      <c r="AD374" s="2" t="n">
        <v>343.03</v>
      </c>
      <c r="AE374" s="2" t="n">
        <v>184.38</v>
      </c>
      <c r="AF374" s="2" t="n">
        <v>93441.89999999999</v>
      </c>
      <c r="AG374" s="2" t="n">
        <v>1756.11</v>
      </c>
    </row>
    <row r="375" ht="16" customHeight="1">
      <c r="A375" s="2" t="inlineStr">
        <is>
          <t>04/21/2025</t>
        </is>
      </c>
      <c r="B375" s="2" t="n">
        <v>110065</v>
      </c>
      <c r="C375" s="2" t="n">
        <v>1067905</v>
      </c>
      <c r="D375" s="2" t="n">
        <v>1042085</v>
      </c>
      <c r="E375" s="2" t="n">
        <v>100.57</v>
      </c>
      <c r="F375" s="2" t="n">
        <v>85</v>
      </c>
      <c r="G375" s="2" t="n"/>
      <c r="H375" s="2" t="n"/>
      <c r="I375" s="2" t="n">
        <v>90</v>
      </c>
      <c r="J375" s="2" t="n">
        <v>1441</v>
      </c>
      <c r="K375" s="2" t="n">
        <v>1421.63</v>
      </c>
      <c r="L375" s="2" t="n">
        <v>21860</v>
      </c>
      <c r="M375" s="2" t="n"/>
      <c r="N375" s="2" t="n">
        <v>9760</v>
      </c>
      <c r="O375" s="2" t="n"/>
      <c r="P375" s="2" t="n">
        <v>54.71</v>
      </c>
      <c r="Q375" s="2" t="n">
        <v>49.79</v>
      </c>
      <c r="R375" s="2" t="n">
        <v>11955</v>
      </c>
      <c r="S375" s="2" t="n">
        <v>11945</v>
      </c>
      <c r="T375" s="2" t="n">
        <v>18735</v>
      </c>
      <c r="U375" s="2" t="n">
        <v>18485</v>
      </c>
      <c r="V375" s="2" t="n">
        <v>17050</v>
      </c>
      <c r="W375" s="2" t="n">
        <v>17185</v>
      </c>
      <c r="X375" s="2" t="n">
        <v>12445</v>
      </c>
      <c r="Y375" s="2" t="n">
        <v>3820</v>
      </c>
      <c r="AA375" s="2" t="n">
        <v>178.4</v>
      </c>
      <c r="AB375" s="2" t="n">
        <v>25.03</v>
      </c>
      <c r="AC375" s="2" t="n">
        <v>60.46</v>
      </c>
      <c r="AD375" s="2" t="n">
        <v>317.76</v>
      </c>
      <c r="AE375" s="2" t="n">
        <v>180.17</v>
      </c>
      <c r="AF375" s="2" t="n">
        <v>87516</v>
      </c>
      <c r="AG375" s="2" t="n">
        <v>1579.59</v>
      </c>
    </row>
    <row r="376" ht="16" customHeight="1">
      <c r="A376" s="2" t="inlineStr">
        <is>
          <t>04/20/2025</t>
        </is>
      </c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>
        <v>1442</v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AA376" s="2" t="n"/>
      <c r="AB376" s="2" t="n"/>
      <c r="AC376" s="2" t="n"/>
      <c r="AD376" s="2" t="n"/>
      <c r="AE376" s="2" t="n"/>
      <c r="AF376" s="2" t="n">
        <v>85179</v>
      </c>
      <c r="AG376" s="2" t="n">
        <v>1587.28</v>
      </c>
    </row>
    <row r="377" ht="16" customHeight="1">
      <c r="A377" s="2" t="inlineStr">
        <is>
          <t>04/19/2025</t>
        </is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>
        <v>1443</v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AA377" s="2" t="n"/>
      <c r="AB377" s="2" t="n"/>
      <c r="AC377" s="2" t="n"/>
      <c r="AD377" s="2" t="n"/>
      <c r="AE377" s="2" t="n"/>
      <c r="AF377" s="2" t="n">
        <v>85068.10000000001</v>
      </c>
      <c r="AG377" s="2" t="n">
        <v>1612.58</v>
      </c>
    </row>
    <row r="378" ht="16" customHeight="1">
      <c r="A378" s="2" t="inlineStr">
        <is>
          <t>04/18/2025</t>
        </is>
      </c>
      <c r="B378" s="2" t="n">
        <v>110060</v>
      </c>
      <c r="C378" s="2" t="n">
        <v>1067820</v>
      </c>
      <c r="D378" s="2" t="n">
        <v>1042010</v>
      </c>
      <c r="E378" s="2" t="n"/>
      <c r="F378" s="2" t="n"/>
      <c r="G378" s="2" t="n"/>
      <c r="H378" s="2" t="n"/>
      <c r="I378" s="2" t="n"/>
      <c r="J378" s="2" t="n">
        <v>1448</v>
      </c>
      <c r="K378" s="2" t="n">
        <v>1423.49</v>
      </c>
      <c r="L378" s="2" t="n">
        <v>21450</v>
      </c>
      <c r="M378" s="2" t="n"/>
      <c r="N378" s="2" t="n">
        <v>9860</v>
      </c>
      <c r="O378" s="2" t="n"/>
      <c r="P378" s="2" t="n"/>
      <c r="Q378" s="2" t="n"/>
      <c r="R378" s="2" t="n">
        <v>12035</v>
      </c>
      <c r="S378" s="2" t="n">
        <v>12050</v>
      </c>
      <c r="T378" s="2" t="n">
        <v>19020</v>
      </c>
      <c r="U378" s="2" t="n">
        <v>18470</v>
      </c>
      <c r="V378" s="2" t="n">
        <v>17330</v>
      </c>
      <c r="W378" s="2" t="n">
        <v>17435</v>
      </c>
      <c r="X378" s="2" t="n">
        <v>12560</v>
      </c>
      <c r="Y378" s="2" t="n">
        <v>3990</v>
      </c>
      <c r="AA378" s="2" t="n"/>
      <c r="AB378" s="2" t="n"/>
      <c r="AC378" s="2" t="n"/>
      <c r="AD378" s="2" t="n"/>
      <c r="AE378" s="2" t="n"/>
      <c r="AF378" s="2" t="n">
        <v>84474.60000000001</v>
      </c>
      <c r="AG378" s="2" t="n">
        <v>1588.93</v>
      </c>
    </row>
    <row r="379" ht="16" customHeight="1">
      <c r="A379" s="2" t="inlineStr">
        <is>
          <t>04/17/2025</t>
        </is>
      </c>
      <c r="B379" s="2" t="n">
        <v>110025</v>
      </c>
      <c r="C379" s="2" t="n">
        <v>1067745</v>
      </c>
      <c r="D379" s="2" t="n">
        <v>1041925</v>
      </c>
      <c r="E379" s="2" t="n">
        <v>100.57</v>
      </c>
      <c r="F379" s="2" t="n">
        <v>85.15000000000001</v>
      </c>
      <c r="G379" s="2" t="n"/>
      <c r="H379" s="2" t="n"/>
      <c r="I379" s="2" t="n">
        <v>88.45</v>
      </c>
      <c r="J379" s="2" t="n">
        <v>1445</v>
      </c>
      <c r="K379" s="2" t="n">
        <v>1417.42</v>
      </c>
      <c r="L379" s="2" t="n">
        <v>21440</v>
      </c>
      <c r="M379" s="2" t="n"/>
      <c r="N379" s="2" t="n">
        <v>9855</v>
      </c>
      <c r="O379" s="2" t="n"/>
      <c r="P379" s="2" t="n">
        <v>55.62</v>
      </c>
      <c r="Q379" s="2" t="n">
        <v>49.86</v>
      </c>
      <c r="R379" s="2" t="n">
        <v>12010</v>
      </c>
      <c r="S379" s="2" t="n">
        <v>11895</v>
      </c>
      <c r="T379" s="2" t="n">
        <v>19025</v>
      </c>
      <c r="U379" s="2" t="n">
        <v>18350</v>
      </c>
      <c r="V379" s="2" t="n">
        <v>17310</v>
      </c>
      <c r="W379" s="2" t="n">
        <v>17545</v>
      </c>
      <c r="X379" s="2" t="n">
        <v>12490</v>
      </c>
      <c r="Y379" s="2" t="n">
        <v>3690</v>
      </c>
      <c r="AA379" s="2" t="n">
        <v>182.86</v>
      </c>
      <c r="AB379" s="2" t="n">
        <v>25.42</v>
      </c>
      <c r="AC379" s="2" t="n">
        <v>61.92</v>
      </c>
      <c r="AD379" s="2" t="n">
        <v>317.2</v>
      </c>
      <c r="AE379" s="2" t="n">
        <v>183.86</v>
      </c>
      <c r="AF379" s="2" t="n">
        <v>84940</v>
      </c>
      <c r="AG379" s="2" t="n">
        <v>1582.73</v>
      </c>
    </row>
    <row r="380" ht="16" customHeight="1">
      <c r="A380" s="2" t="inlineStr">
        <is>
          <t>04/16/2025</t>
        </is>
      </c>
      <c r="B380" s="2" t="n">
        <v>110025</v>
      </c>
      <c r="C380" s="2" t="n">
        <v>1067515</v>
      </c>
      <c r="D380" s="2" t="n">
        <v>1041690</v>
      </c>
      <c r="E380" s="2" t="n">
        <v>100.53</v>
      </c>
      <c r="F380" s="2" t="n">
        <v>84.93000000000001</v>
      </c>
      <c r="G380" s="2" t="n"/>
      <c r="H380" s="2" t="n"/>
      <c r="I380" s="2" t="n">
        <v>87.5</v>
      </c>
      <c r="J380" s="2" t="n">
        <v>1452</v>
      </c>
      <c r="K380" s="2" t="n">
        <v>1413.71</v>
      </c>
      <c r="L380" s="2" t="n">
        <v>21395</v>
      </c>
      <c r="M380" s="2" t="n"/>
      <c r="N380" s="2" t="n">
        <v>9880</v>
      </c>
      <c r="O380" s="2" t="n"/>
      <c r="P380" s="2" t="n">
        <v>56.07</v>
      </c>
      <c r="Q380" s="2" t="n">
        <v>49.7</v>
      </c>
      <c r="R380" s="2" t="n">
        <v>11800</v>
      </c>
      <c r="S380" s="2" t="n">
        <v>11650</v>
      </c>
      <c r="T380" s="2" t="n">
        <v>19125</v>
      </c>
      <c r="U380" s="2" t="n">
        <v>18170</v>
      </c>
      <c r="V380" s="2" t="n">
        <v>17410</v>
      </c>
      <c r="W380" s="2" t="n">
        <v>17555</v>
      </c>
      <c r="X380" s="2" t="n">
        <v>12565</v>
      </c>
      <c r="Y380" s="2" t="n">
        <v>3830</v>
      </c>
      <c r="AA380" s="2" t="n">
        <v>182.9</v>
      </c>
      <c r="AB380" s="2" t="n">
        <v>25.13</v>
      </c>
      <c r="AC380" s="2" t="n">
        <v>61.83</v>
      </c>
      <c r="AD380" s="2" t="n">
        <v>311.66</v>
      </c>
      <c r="AE380" s="2" t="n">
        <v>183.11</v>
      </c>
      <c r="AF380" s="2" t="n">
        <v>84032.2</v>
      </c>
      <c r="AG380" s="2" t="n">
        <v>1577.14</v>
      </c>
    </row>
    <row r="381" ht="16" customHeight="1">
      <c r="A381" s="2" t="inlineStr">
        <is>
          <t>04/15/2025</t>
        </is>
      </c>
      <c r="B381" s="2" t="n">
        <v>110015</v>
      </c>
      <c r="C381" s="2" t="n">
        <v>1067435</v>
      </c>
      <c r="D381" s="2" t="n">
        <v>1041610</v>
      </c>
      <c r="E381" s="2" t="n">
        <v>100.51</v>
      </c>
      <c r="F381" s="2" t="n">
        <v>83.94</v>
      </c>
      <c r="G381" s="2" t="n"/>
      <c r="H381" s="2" t="n"/>
      <c r="I381" s="2" t="n">
        <v>87.5</v>
      </c>
      <c r="J381" s="2" t="n">
        <v>1460</v>
      </c>
      <c r="K381" s="2" t="n">
        <v>1426.63</v>
      </c>
      <c r="L381" s="2" t="n">
        <v>20855</v>
      </c>
      <c r="M381" s="2" t="n"/>
      <c r="N381" s="2" t="n">
        <v>9855</v>
      </c>
      <c r="O381" s="2" t="n"/>
      <c r="P381" s="2" t="n">
        <v>55.75</v>
      </c>
      <c r="Q381" s="2" t="n">
        <v>49.65</v>
      </c>
      <c r="R381" s="2" t="n">
        <v>11880</v>
      </c>
      <c r="S381" s="2" t="n">
        <v>11965</v>
      </c>
      <c r="T381" s="2" t="n">
        <v>19390</v>
      </c>
      <c r="U381" s="2" t="n">
        <v>18445</v>
      </c>
      <c r="V381" s="2" t="n">
        <v>17650</v>
      </c>
      <c r="W381" s="2" t="n">
        <v>17895</v>
      </c>
      <c r="X381" s="2" t="n">
        <v>12610</v>
      </c>
      <c r="Y381" s="2" t="n">
        <v>3380</v>
      </c>
      <c r="AA381" s="2" t="n">
        <v>188.58</v>
      </c>
      <c r="AB381" s="2" t="n">
        <v>25.43</v>
      </c>
      <c r="AC381" s="2" t="n">
        <v>63.22</v>
      </c>
      <c r="AD381" s="2" t="n">
        <v>310.72</v>
      </c>
      <c r="AE381" s="2" t="n">
        <v>186.02</v>
      </c>
      <c r="AF381" s="2" t="n">
        <v>83647</v>
      </c>
      <c r="AG381" s="2" t="n">
        <v>1588.8</v>
      </c>
    </row>
    <row r="382" ht="16" customHeight="1">
      <c r="A382" s="2" t="inlineStr">
        <is>
          <t>04/14/2025</t>
        </is>
      </c>
      <c r="B382" s="2" t="n">
        <v>110005</v>
      </c>
      <c r="C382" s="2" t="n">
        <v>1067360</v>
      </c>
      <c r="D382" s="2" t="n">
        <v>1041530</v>
      </c>
      <c r="E382" s="2" t="n">
        <v>100.5</v>
      </c>
      <c r="F382" s="2" t="n">
        <v>84.20999999999999</v>
      </c>
      <c r="G382" s="2" t="n"/>
      <c r="H382" s="2" t="n"/>
      <c r="I382" s="2" t="n">
        <v>87.45</v>
      </c>
      <c r="J382" s="2" t="n">
        <v>1452</v>
      </c>
      <c r="K382" s="2" t="n">
        <v>1419.41</v>
      </c>
      <c r="L382" s="2" t="n">
        <v>20945</v>
      </c>
      <c r="M382" s="2" t="n"/>
      <c r="N382" s="2" t="n">
        <v>9795</v>
      </c>
      <c r="O382" s="2" t="n"/>
      <c r="P382" s="2" t="n">
        <v>55.57</v>
      </c>
      <c r="Q382" s="2" t="n">
        <v>49.66</v>
      </c>
      <c r="R382" s="2" t="n">
        <v>11685</v>
      </c>
      <c r="S382" s="2" t="n">
        <v>11975</v>
      </c>
      <c r="T382" s="2" t="n">
        <v>19410</v>
      </c>
      <c r="U382" s="2" t="n">
        <v>18270</v>
      </c>
      <c r="V382" s="2" t="n">
        <v>17685</v>
      </c>
      <c r="W382" s="2" t="n">
        <v>18045</v>
      </c>
      <c r="X382" s="2" t="n">
        <v>12605</v>
      </c>
      <c r="Y382" s="2" t="n">
        <v>3360</v>
      </c>
      <c r="AA382" s="2" t="n">
        <v>188.42</v>
      </c>
      <c r="AB382" s="2" t="n">
        <v>25.6</v>
      </c>
      <c r="AC382" s="2" t="n">
        <v>63.38</v>
      </c>
      <c r="AD382" s="2" t="n">
        <v>311.45</v>
      </c>
      <c r="AE382" s="2" t="n">
        <v>186.76</v>
      </c>
      <c r="AF382" s="2" t="n">
        <v>84586.39999999999</v>
      </c>
      <c r="AG382" s="2" t="n">
        <v>1623.73</v>
      </c>
    </row>
    <row r="383" ht="16" customHeight="1">
      <c r="A383" s="2" t="inlineStr">
        <is>
          <t>04/13/2025</t>
        </is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>
        <v>1453</v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AA383" s="2" t="n"/>
      <c r="AB383" s="2" t="n"/>
      <c r="AC383" s="2" t="n"/>
      <c r="AD383" s="2" t="n"/>
      <c r="AE383" s="2" t="n"/>
      <c r="AF383" s="2" t="n">
        <v>83734.39999999999</v>
      </c>
      <c r="AG383" s="2" t="n">
        <v>1597.77</v>
      </c>
    </row>
    <row r="384" ht="16" customHeight="1">
      <c r="A384" s="2" t="inlineStr">
        <is>
          <t>04/12/2025</t>
        </is>
      </c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>
        <v>1449</v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AA384" s="2" t="n"/>
      <c r="AB384" s="2" t="n"/>
      <c r="AC384" s="2" t="n"/>
      <c r="AD384" s="2" t="n"/>
      <c r="AE384" s="2" t="n"/>
      <c r="AF384" s="2" t="n">
        <v>85292.7</v>
      </c>
      <c r="AG384" s="2" t="n">
        <v>1644.12</v>
      </c>
    </row>
    <row r="385" ht="16" customHeight="1">
      <c r="A385" s="2" t="inlineStr">
        <is>
          <t>04/11/2025</t>
        </is>
      </c>
      <c r="B385" s="2" t="n">
        <v>109995</v>
      </c>
      <c r="C385" s="2" t="n">
        <v>1067270</v>
      </c>
      <c r="D385" s="2" t="n">
        <v>1041445</v>
      </c>
      <c r="E385" s="2" t="n">
        <v>100.49</v>
      </c>
      <c r="F385" s="2" t="n">
        <v>84.54000000000001</v>
      </c>
      <c r="G385" s="2" t="n"/>
      <c r="H385" s="2" t="n"/>
      <c r="I385" s="2" t="n">
        <v>86.34</v>
      </c>
      <c r="J385" s="2" t="n">
        <v>1458</v>
      </c>
      <c r="K385" s="2" t="n">
        <v>1419.53</v>
      </c>
      <c r="L385" s="2" t="n">
        <v>20940</v>
      </c>
      <c r="M385" s="2" t="n"/>
      <c r="N385" s="2" t="n">
        <v>9990</v>
      </c>
      <c r="O385" s="2" t="n"/>
      <c r="P385" s="2" t="n">
        <v>55.13</v>
      </c>
      <c r="Q385" s="2" t="n">
        <v>49.57</v>
      </c>
      <c r="R385" s="2" t="n">
        <v>11540</v>
      </c>
      <c r="S385" s="2" t="n">
        <v>11745</v>
      </c>
      <c r="T385" s="2" t="n">
        <v>19470</v>
      </c>
      <c r="U385" s="2" t="n">
        <v>18120</v>
      </c>
      <c r="V385" s="2" t="n">
        <v>17715</v>
      </c>
      <c r="W385" s="2" t="n">
        <v>18055</v>
      </c>
      <c r="X385" s="2" t="n">
        <v>12770</v>
      </c>
      <c r="Y385" s="2" t="n">
        <v>3290</v>
      </c>
      <c r="AA385" s="2" t="n">
        <v>187.02</v>
      </c>
      <c r="AB385" s="2" t="n">
        <v>25.3</v>
      </c>
      <c r="AC385" s="2" t="n">
        <v>62.8</v>
      </c>
      <c r="AD385" s="2" t="n">
        <v>299.98</v>
      </c>
      <c r="AE385" s="2" t="n">
        <v>184.75</v>
      </c>
      <c r="AF385" s="2" t="n">
        <v>83413.10000000001</v>
      </c>
      <c r="AG385" s="2" t="n">
        <v>1566.77</v>
      </c>
    </row>
    <row r="386" ht="16" customHeight="1">
      <c r="A386" s="2" t="inlineStr">
        <is>
          <t>04/10/2025</t>
        </is>
      </c>
      <c r="B386" s="2" t="n">
        <v>109975</v>
      </c>
      <c r="C386" s="2" t="n">
        <v>1067190</v>
      </c>
      <c r="D386" s="2" t="n">
        <v>1041355</v>
      </c>
      <c r="E386" s="2" t="n">
        <v>100.44</v>
      </c>
      <c r="F386" s="2" t="n">
        <v>81.68000000000001</v>
      </c>
      <c r="G386" s="2" t="n"/>
      <c r="H386" s="2" t="n"/>
      <c r="I386" s="2" t="n">
        <v>85.98999999999999</v>
      </c>
      <c r="J386" s="2" t="n">
        <v>1481</v>
      </c>
      <c r="K386" s="2" t="n">
        <v>1452.73</v>
      </c>
      <c r="L386" s="2" t="n">
        <v>20655</v>
      </c>
      <c r="M386" s="2" t="n"/>
      <c r="N386" s="2" t="n">
        <v>10225</v>
      </c>
      <c r="O386" s="2" t="n"/>
      <c r="P386" s="2" t="n">
        <v>55</v>
      </c>
      <c r="Q386" s="2" t="n">
        <v>49.6</v>
      </c>
      <c r="R386" s="2" t="n">
        <v>11710</v>
      </c>
      <c r="S386" s="2" t="n">
        <v>11560</v>
      </c>
      <c r="T386" s="2" t="n">
        <v>19900</v>
      </c>
      <c r="U386" s="2" t="n">
        <v>18200</v>
      </c>
      <c r="V386" s="2" t="n">
        <v>18110</v>
      </c>
      <c r="W386" s="2" t="n">
        <v>18465</v>
      </c>
      <c r="X386" s="2" t="n">
        <v>12895</v>
      </c>
      <c r="Y386" s="2" t="n">
        <v>3235</v>
      </c>
      <c r="AA386" s="2" t="n">
        <v>183.75</v>
      </c>
      <c r="AB386" s="2" t="n">
        <v>24.97</v>
      </c>
      <c r="AC386" s="2" t="n">
        <v>61.7</v>
      </c>
      <c r="AD386" s="2" t="n">
        <v>272.34</v>
      </c>
      <c r="AE386" s="2" t="n">
        <v>181.58</v>
      </c>
      <c r="AF386" s="2" t="n">
        <v>79607.5</v>
      </c>
      <c r="AG386" s="2" t="n">
        <v>1522.13</v>
      </c>
    </row>
    <row r="387" ht="16" customHeight="1">
      <c r="A387" s="2" t="inlineStr">
        <is>
          <t>04/09/2025</t>
        </is>
      </c>
      <c r="B387" s="2" t="n">
        <v>109960</v>
      </c>
      <c r="C387" s="2" t="n">
        <v>1066950</v>
      </c>
      <c r="D387" s="2" t="n">
        <v>1041115</v>
      </c>
      <c r="E387" s="2" t="n">
        <v>100.44</v>
      </c>
      <c r="F387" s="2" t="n">
        <v>83.98999999999999</v>
      </c>
      <c r="G387" s="2" t="n"/>
      <c r="H387" s="2" t="n"/>
      <c r="I387" s="2" t="n">
        <v>88.47</v>
      </c>
      <c r="J387" s="2" t="n">
        <v>1472</v>
      </c>
      <c r="K387" s="2" t="n">
        <v>1445.8</v>
      </c>
      <c r="L387" s="2" t="n">
        <v>20365</v>
      </c>
      <c r="M387" s="2" t="n"/>
      <c r="N387" s="2" t="n">
        <v>10100</v>
      </c>
      <c r="O387" s="2" t="n"/>
      <c r="P387" s="2" t="n">
        <v>56.26</v>
      </c>
      <c r="Q387" s="2" t="n">
        <v>49.75</v>
      </c>
      <c r="R387" s="2" t="n">
        <v>10940</v>
      </c>
      <c r="S387" s="2" t="n">
        <v>10845</v>
      </c>
      <c r="T387" s="2" t="n">
        <v>18495</v>
      </c>
      <c r="U387" s="2" t="n">
        <v>17125</v>
      </c>
      <c r="V387" s="2" t="n">
        <v>16660</v>
      </c>
      <c r="W387" s="2" t="n">
        <v>16750</v>
      </c>
      <c r="X387" s="2" t="n">
        <v>12755</v>
      </c>
      <c r="Y387" s="2" t="n">
        <v>3060</v>
      </c>
      <c r="AA387" s="2" t="n">
        <v>191.52</v>
      </c>
      <c r="AB387" s="2" t="n">
        <v>25.87</v>
      </c>
      <c r="AC387" s="2" t="n">
        <v>63.93</v>
      </c>
      <c r="AD387" s="2" t="n">
        <v>296.86</v>
      </c>
      <c r="AE387" s="2" t="n">
        <v>186.54</v>
      </c>
      <c r="AF387" s="2" t="n">
        <v>82607</v>
      </c>
      <c r="AG387" s="2" t="n">
        <v>1669.74</v>
      </c>
    </row>
    <row r="388" ht="16" customHeight="1">
      <c r="A388" s="2" t="inlineStr">
        <is>
          <t>04/08/2025</t>
        </is>
      </c>
      <c r="B388" s="2" t="n">
        <v>109960</v>
      </c>
      <c r="C388" s="2" t="n">
        <v>1066865</v>
      </c>
      <c r="D388" s="2" t="n">
        <v>1041035</v>
      </c>
      <c r="E388" s="2" t="n">
        <v>100.42</v>
      </c>
      <c r="F388" s="2" t="n">
        <v>81.13</v>
      </c>
      <c r="G388" s="2" t="n"/>
      <c r="H388" s="2" t="n"/>
      <c r="I388" s="2" t="n">
        <v>86.25</v>
      </c>
      <c r="J388" s="2" t="n">
        <v>1500</v>
      </c>
      <c r="K388" s="2" t="n">
        <v>1485.83</v>
      </c>
      <c r="L388" s="2" t="n">
        <v>20175</v>
      </c>
      <c r="M388" s="2" t="n"/>
      <c r="N388" s="2" t="n">
        <v>10450</v>
      </c>
      <c r="O388" s="2" t="n"/>
      <c r="P388" s="2" t="n">
        <v>56.08</v>
      </c>
      <c r="Q388" s="2" t="n">
        <v>49.84</v>
      </c>
      <c r="R388" s="2" t="n">
        <v>11490</v>
      </c>
      <c r="S388" s="2" t="n">
        <v>11175</v>
      </c>
      <c r="T388" s="2" t="n">
        <v>18990</v>
      </c>
      <c r="U388" s="2" t="n">
        <v>17450</v>
      </c>
      <c r="V388" s="2" t="n">
        <v>17290</v>
      </c>
      <c r="W388" s="2" t="n">
        <v>17320</v>
      </c>
      <c r="X388" s="2" t="n">
        <v>12830</v>
      </c>
      <c r="Y388" s="2" t="n">
        <v>3180</v>
      </c>
      <c r="AA388" s="2" t="n">
        <v>171.4</v>
      </c>
      <c r="AB388" s="2" t="n">
        <v>24.32</v>
      </c>
      <c r="AC388" s="2" t="n">
        <v>58.41</v>
      </c>
      <c r="AD388" s="2" t="n">
        <v>237.95</v>
      </c>
      <c r="AE388" s="2" t="n">
        <v>173.71</v>
      </c>
      <c r="AF388" s="2" t="n">
        <v>76312.5</v>
      </c>
      <c r="AG388" s="2" t="n">
        <v>1473.4</v>
      </c>
    </row>
    <row r="389" ht="16" customHeight="1">
      <c r="A389" s="2" t="inlineStr">
        <is>
          <t>04/07/2025</t>
        </is>
      </c>
      <c r="B389" s="2" t="n">
        <v>109955</v>
      </c>
      <c r="C389" s="2" t="n">
        <v>1066795</v>
      </c>
      <c r="D389" s="2" t="n">
        <v>1040940</v>
      </c>
      <c r="E389" s="2" t="n">
        <v>100.42</v>
      </c>
      <c r="F389" s="2" t="n">
        <v>81.81999999999999</v>
      </c>
      <c r="G389" s="2" t="n"/>
      <c r="H389" s="2" t="n"/>
      <c r="I389" s="2" t="n">
        <v>87.81999999999999</v>
      </c>
      <c r="J389" s="2" t="n">
        <v>1490</v>
      </c>
      <c r="K389" s="2" t="n">
        <v>1469.91</v>
      </c>
      <c r="L389" s="2" t="n">
        <v>20010</v>
      </c>
      <c r="M389" s="2" t="n"/>
      <c r="N389" s="2" t="n">
        <v>10830</v>
      </c>
      <c r="O389" s="2" t="n"/>
      <c r="P389" s="2" t="n">
        <v>57.06</v>
      </c>
      <c r="Q389" s="2" t="n">
        <v>49.73</v>
      </c>
      <c r="R389" s="2" t="n">
        <v>11370</v>
      </c>
      <c r="S389" s="2" t="n">
        <v>11020</v>
      </c>
      <c r="T389" s="2" t="n">
        <v>17980</v>
      </c>
      <c r="U389" s="2" t="n">
        <v>17450</v>
      </c>
      <c r="V389" s="2" t="n">
        <v>16350</v>
      </c>
      <c r="W389" s="2" t="n">
        <v>16205</v>
      </c>
      <c r="X389" s="2" t="n">
        <v>12550</v>
      </c>
      <c r="Y389" s="2" t="n">
        <v>3170</v>
      </c>
      <c r="AA389" s="2" t="n">
        <v>174.51</v>
      </c>
      <c r="AB389" s="2" t="n">
        <v>24.94</v>
      </c>
      <c r="AC389" s="2" t="n">
        <v>59.33</v>
      </c>
      <c r="AD389" s="2" t="n">
        <v>268.14</v>
      </c>
      <c r="AE389" s="2" t="n">
        <v>175.67</v>
      </c>
      <c r="AF389" s="2" t="n">
        <v>79162.5</v>
      </c>
      <c r="AG389" s="2" t="n">
        <v>1553.01</v>
      </c>
    </row>
    <row r="390" ht="16" customHeight="1">
      <c r="A390" s="2" t="inlineStr">
        <is>
          <t>04/06/2025</t>
        </is>
      </c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>
        <v>1499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AA390" s="2" t="n"/>
      <c r="AB390" s="2" t="n"/>
      <c r="AC390" s="2" t="n"/>
      <c r="AD390" s="2" t="n"/>
      <c r="AE390" s="2" t="n"/>
      <c r="AF390" s="2" t="n">
        <v>78391.3</v>
      </c>
      <c r="AG390" s="2" t="n">
        <v>1580.65</v>
      </c>
    </row>
    <row r="391" ht="16" customHeight="1">
      <c r="A391" s="2" t="inlineStr">
        <is>
          <t>04/05/2025</t>
        </is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>
        <v>1477</v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AA391" s="2" t="n"/>
      <c r="AB391" s="2" t="n"/>
      <c r="AC391" s="2" t="n"/>
      <c r="AD391" s="2" t="n"/>
      <c r="AE391" s="2" t="n"/>
      <c r="AF391" s="2" t="n">
        <v>83552.10000000001</v>
      </c>
      <c r="AG391" s="2" t="n">
        <v>1806.47</v>
      </c>
    </row>
    <row r="392" ht="16" customHeight="1">
      <c r="A392" s="2" t="inlineStr">
        <is>
          <t>04/04/2025</t>
        </is>
      </c>
      <c r="B392" s="2" t="n">
        <v>109940</v>
      </c>
      <c r="C392" s="2" t="n">
        <v>1066720</v>
      </c>
      <c r="D392" s="2" t="n">
        <v>1040865</v>
      </c>
      <c r="E392" s="2" t="n">
        <v>100.41</v>
      </c>
      <c r="F392" s="2" t="n">
        <v>83.90000000000001</v>
      </c>
      <c r="G392" s="2" t="n"/>
      <c r="H392" s="2" t="n"/>
      <c r="I392" s="2" t="n">
        <v>89.59999999999999</v>
      </c>
      <c r="J392" s="2" t="n">
        <v>1472</v>
      </c>
      <c r="K392" s="2" t="n">
        <v>1458.51</v>
      </c>
      <c r="L392" s="2" t="n">
        <v>20310</v>
      </c>
      <c r="M392" s="2" t="n"/>
      <c r="N392" s="2" t="n">
        <v>10560</v>
      </c>
      <c r="O392" s="2" t="n"/>
      <c r="P392" s="2" t="n">
        <v>58.71</v>
      </c>
      <c r="Q392" s="2" t="n">
        <v>49.91</v>
      </c>
      <c r="R392" s="2" t="n">
        <v>12280</v>
      </c>
      <c r="S392" s="2" t="n">
        <v>11665</v>
      </c>
      <c r="T392" s="2" t="n">
        <v>19420</v>
      </c>
      <c r="U392" s="2" t="n">
        <v>18490</v>
      </c>
      <c r="V392" s="2" t="n">
        <v>17685</v>
      </c>
      <c r="W392" s="2" t="n">
        <v>17740</v>
      </c>
      <c r="X392" s="2" t="n">
        <v>12655</v>
      </c>
      <c r="Y392" s="2" t="n">
        <v>3285</v>
      </c>
      <c r="AA392" s="2" t="n">
        <v>174.28</v>
      </c>
      <c r="AB392" s="2" t="n">
        <v>25.28</v>
      </c>
      <c r="AC392" s="2" t="n">
        <v>59.45</v>
      </c>
      <c r="AD392" s="2" t="n">
        <v>293.61</v>
      </c>
      <c r="AE392" s="2" t="n">
        <v>177.07</v>
      </c>
      <c r="AF392" s="2" t="n">
        <v>83866.7</v>
      </c>
      <c r="AG392" s="2" t="n">
        <v>1816.36</v>
      </c>
    </row>
    <row r="393" ht="16" customHeight="1">
      <c r="A393" s="2" t="inlineStr">
        <is>
          <t>04/03/2025</t>
        </is>
      </c>
      <c r="B393" s="2" t="n">
        <v>109915</v>
      </c>
      <c r="C393" s="2" t="n">
        <v>1066635</v>
      </c>
      <c r="D393" s="2" t="n">
        <v>1040795</v>
      </c>
      <c r="E393" s="2" t="n">
        <v>100.38</v>
      </c>
      <c r="F393" s="2" t="n">
        <v>83.61</v>
      </c>
      <c r="G393" s="2" t="n"/>
      <c r="H393" s="2" t="n"/>
      <c r="I393" s="2" t="n">
        <v>91.25</v>
      </c>
      <c r="J393" s="2" t="n">
        <v>1482</v>
      </c>
      <c r="K393" s="2" t="n">
        <v>1450.57</v>
      </c>
      <c r="L393" s="2" t="n">
        <v>20905</v>
      </c>
      <c r="M393" s="2" t="n"/>
      <c r="N393" s="2" t="n">
        <v>10760</v>
      </c>
      <c r="O393" s="2" t="n"/>
      <c r="P393" s="2" t="n">
        <v>58.19</v>
      </c>
      <c r="Q393" s="2" t="n">
        <v>50.06</v>
      </c>
      <c r="R393" s="2" t="n">
        <v>12400</v>
      </c>
      <c r="S393" s="2" t="n">
        <v>11600</v>
      </c>
      <c r="T393" s="2" t="n">
        <v>20320</v>
      </c>
      <c r="U393" s="2" t="n">
        <v>18650</v>
      </c>
      <c r="V393" s="2" t="n">
        <v>18500</v>
      </c>
      <c r="W393" s="2" t="n">
        <v>18550</v>
      </c>
      <c r="X393" s="2" t="n">
        <v>13015</v>
      </c>
      <c r="Y393" s="2" t="n">
        <v>3245</v>
      </c>
      <c r="AA393" s="2" t="n">
        <v>185.63</v>
      </c>
      <c r="AB393" s="2" t="n">
        <v>26.73</v>
      </c>
      <c r="AC393" s="2" t="n">
        <v>63.24</v>
      </c>
      <c r="AD393" s="2" t="n">
        <v>282.28</v>
      </c>
      <c r="AE393" s="2" t="n">
        <v>187.76</v>
      </c>
      <c r="AF393" s="2" t="n">
        <v>83159.39999999999</v>
      </c>
      <c r="AG393" s="2" t="n">
        <v>1816.53</v>
      </c>
    </row>
    <row r="394" ht="16" customHeight="1">
      <c r="A394" s="2" t="inlineStr">
        <is>
          <t>04/02/2025</t>
        </is>
      </c>
      <c r="B394" s="2" t="n">
        <v>109905</v>
      </c>
      <c r="C394" s="2" t="n">
        <v>1066380</v>
      </c>
      <c r="D394" s="2" t="n">
        <v>1040550</v>
      </c>
      <c r="E394" s="2" t="n">
        <v>100.36</v>
      </c>
      <c r="F394" s="2" t="n">
        <v>85.70999999999999</v>
      </c>
      <c r="G394" s="2" t="n"/>
      <c r="H394" s="2" t="n"/>
      <c r="I394" s="2" t="n">
        <v>93.09999999999999</v>
      </c>
      <c r="J394" s="2" t="n">
        <v>1488</v>
      </c>
      <c r="K394" s="2" t="n">
        <v>1463.19</v>
      </c>
      <c r="L394" s="2" t="n">
        <v>20825</v>
      </c>
      <c r="M394" s="2" t="n"/>
      <c r="N394" s="2" t="n">
        <v>10540</v>
      </c>
      <c r="O394" s="2" t="n"/>
      <c r="P394" s="2" t="n">
        <v>57.79</v>
      </c>
      <c r="Q394" s="2" t="n">
        <v>49.76</v>
      </c>
      <c r="R394" s="2" t="n">
        <v>12685</v>
      </c>
      <c r="S394" s="2" t="n">
        <v>11590</v>
      </c>
      <c r="T394" s="2" t="n">
        <v>20760</v>
      </c>
      <c r="U394" s="2" t="n">
        <v>18935</v>
      </c>
      <c r="V394" s="2" t="n">
        <v>18900</v>
      </c>
      <c r="W394" s="2" t="n">
        <v>19025</v>
      </c>
      <c r="X394" s="2" t="n">
        <v>13080</v>
      </c>
      <c r="Y394" s="2" t="n">
        <v>3270</v>
      </c>
      <c r="AA394" s="2" t="n">
        <v>196</v>
      </c>
      <c r="AB394" s="2" t="n">
        <v>27.87</v>
      </c>
      <c r="AC394" s="2" t="n">
        <v>66.39</v>
      </c>
      <c r="AD394" s="2" t="n">
        <v>312.54</v>
      </c>
      <c r="AE394" s="2" t="n">
        <v>194.8</v>
      </c>
      <c r="AF394" s="2" t="n">
        <v>82525</v>
      </c>
      <c r="AG394" s="2" t="n">
        <v>1795.59</v>
      </c>
    </row>
    <row r="395" ht="16" customHeight="1">
      <c r="A395" s="2" t="inlineStr">
        <is>
          <t>04/01/2025</t>
        </is>
      </c>
      <c r="B395" s="2" t="n">
        <v>109895</v>
      </c>
      <c r="C395" s="2" t="n">
        <v>1066295</v>
      </c>
      <c r="D395" s="2" t="n">
        <v>1040465</v>
      </c>
      <c r="E395" s="2" t="n">
        <v>100.35</v>
      </c>
      <c r="F395" s="2" t="n">
        <v>86.45999999999999</v>
      </c>
      <c r="G395" s="2" t="n"/>
      <c r="H395" s="2" t="n"/>
      <c r="I395" s="2" t="n">
        <v>92.5</v>
      </c>
      <c r="J395" s="2" t="n">
        <v>1486</v>
      </c>
      <c r="K395" s="2" t="n">
        <v>1469.94</v>
      </c>
      <c r="L395" s="2" t="n">
        <v>21075</v>
      </c>
      <c r="M395" s="2" t="n"/>
      <c r="N395" s="2" t="n">
        <v>10540</v>
      </c>
      <c r="O395" s="2" t="n"/>
      <c r="P395" s="2" t="n">
        <v>57.84</v>
      </c>
      <c r="Q395" s="2" t="n">
        <v>49.81</v>
      </c>
      <c r="R395" s="2" t="n">
        <v>12640</v>
      </c>
      <c r="S395" s="2" t="n">
        <v>11750</v>
      </c>
      <c r="T395" s="2" t="n">
        <v>20720</v>
      </c>
      <c r="U395" s="2" t="n">
        <v>19010</v>
      </c>
      <c r="V395" s="2" t="n">
        <v>18865</v>
      </c>
      <c r="W395" s="2" t="n">
        <v>18925</v>
      </c>
      <c r="X395" s="2" t="n">
        <v>13115</v>
      </c>
      <c r="Y395" s="2" t="n">
        <v>3330</v>
      </c>
      <c r="AA395" s="2" t="n">
        <v>194.6</v>
      </c>
      <c r="AB395" s="2" t="n">
        <v>27.87</v>
      </c>
      <c r="AC395" s="2" t="n">
        <v>65.98999999999999</v>
      </c>
      <c r="AD395" s="2" t="n">
        <v>306.02</v>
      </c>
      <c r="AE395" s="2" t="n">
        <v>193.65</v>
      </c>
      <c r="AF395" s="2" t="n">
        <v>85164.2</v>
      </c>
      <c r="AG395" s="2" t="n">
        <v>1904.99</v>
      </c>
    </row>
    <row r="396" ht="16" customHeight="1">
      <c r="A396" s="2" t="inlineStr">
        <is>
          <t>03/31/2025</t>
        </is>
      </c>
      <c r="B396" s="2" t="n">
        <v>109890</v>
      </c>
      <c r="C396" s="2" t="n">
        <v>1066235</v>
      </c>
      <c r="D396" s="2" t="n">
        <v>1040385</v>
      </c>
      <c r="E396" s="2" t="n">
        <v>100.67</v>
      </c>
      <c r="F396" s="2" t="n">
        <v>84.01000000000001</v>
      </c>
      <c r="G396" s="2" t="n"/>
      <c r="H396" s="2" t="n"/>
      <c r="I396" s="2" t="n">
        <v>93</v>
      </c>
      <c r="J396" s="2" t="n">
        <v>1491</v>
      </c>
      <c r="K396" s="2" t="n">
        <v>1472.05</v>
      </c>
      <c r="L396" s="2" t="n">
        <v>21105</v>
      </c>
      <c r="M396" s="2" t="n"/>
      <c r="N396" s="2" t="n">
        <v>10490</v>
      </c>
      <c r="O396" s="2" t="n"/>
      <c r="P396" s="2" t="n">
        <v>57.61</v>
      </c>
      <c r="Q396" s="2" t="n">
        <v>49.9</v>
      </c>
      <c r="R396" s="2" t="n">
        <v>12440</v>
      </c>
      <c r="S396" s="2" t="n">
        <v>11465</v>
      </c>
      <c r="T396" s="2" t="n">
        <v>20510</v>
      </c>
      <c r="U396" s="2" t="n">
        <v>18695</v>
      </c>
      <c r="V396" s="2" t="n">
        <v>18680</v>
      </c>
      <c r="W396" s="2" t="n">
        <v>18750</v>
      </c>
      <c r="X396" s="2" t="n">
        <v>13070</v>
      </c>
      <c r="Y396" s="2" t="n">
        <v>3250</v>
      </c>
      <c r="AA396" s="2" t="n">
        <v>193.02</v>
      </c>
      <c r="AB396" s="2" t="n">
        <v>27.96</v>
      </c>
      <c r="AC396" s="2" t="n">
        <v>65.76000000000001</v>
      </c>
      <c r="AD396" s="2" t="n">
        <v>288.27</v>
      </c>
      <c r="AE396" s="2" t="n">
        <v>193.99</v>
      </c>
      <c r="AF396" s="2" t="n">
        <v>82548.8</v>
      </c>
      <c r="AG396" s="2" t="n">
        <v>1821.95</v>
      </c>
    </row>
    <row r="397" ht="16" customHeight="1">
      <c r="A397" s="2" t="inlineStr">
        <is>
          <t>03/30/2025</t>
        </is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>
        <v>1495</v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AA397" s="2" t="n"/>
      <c r="AB397" s="2" t="n"/>
      <c r="AC397" s="2" t="n"/>
      <c r="AD397" s="2" t="n"/>
      <c r="AE397" s="2" t="n"/>
      <c r="AF397" s="2" t="n">
        <v>82371.60000000001</v>
      </c>
      <c r="AG397" s="2" t="n">
        <v>1807.02</v>
      </c>
    </row>
    <row r="398" ht="16" customHeight="1">
      <c r="A398" s="2" t="inlineStr">
        <is>
          <t>03/29/2025</t>
        </is>
      </c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>
        <v>1493</v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AA398" s="2" t="n"/>
      <c r="AB398" s="2" t="n"/>
      <c r="AC398" s="2" t="n"/>
      <c r="AD398" s="2" t="n"/>
      <c r="AE398" s="2" t="n"/>
      <c r="AF398" s="2" t="n">
        <v>82645.7</v>
      </c>
      <c r="AG398" s="2" t="n">
        <v>1827.84</v>
      </c>
    </row>
    <row r="399" ht="16" customHeight="1">
      <c r="A399" s="2" t="inlineStr">
        <is>
          <t>03/28/2025</t>
        </is>
      </c>
      <c r="B399" s="2" t="n">
        <v>109880</v>
      </c>
      <c r="C399" s="2" t="n">
        <v>1066140</v>
      </c>
      <c r="D399" s="2" t="n">
        <v>1040310</v>
      </c>
      <c r="E399" s="2" t="n">
        <v>100.67</v>
      </c>
      <c r="F399" s="2" t="n">
        <v>84.08</v>
      </c>
      <c r="G399" s="2" t="n"/>
      <c r="H399" s="2" t="n"/>
      <c r="I399" s="2" t="n">
        <v>91.95</v>
      </c>
      <c r="J399" s="2" t="n">
        <v>1491</v>
      </c>
      <c r="K399" s="2" t="n">
        <v>1469.87</v>
      </c>
      <c r="L399" s="2" t="n">
        <v>20640</v>
      </c>
      <c r="M399" s="2" t="n"/>
      <c r="N399" s="2" t="n">
        <v>10310</v>
      </c>
      <c r="O399" s="2" t="n"/>
      <c r="P399" s="2" t="n">
        <v>57.17</v>
      </c>
      <c r="Q399" s="2" t="n">
        <v>49.86</v>
      </c>
      <c r="R399" s="2" t="n">
        <v>12645</v>
      </c>
      <c r="S399" s="2" t="n">
        <v>11790</v>
      </c>
      <c r="T399" s="2" t="n">
        <v>21005</v>
      </c>
      <c r="U399" s="2" t="n">
        <v>19300</v>
      </c>
      <c r="V399" s="2" t="n">
        <v>19140</v>
      </c>
      <c r="W399" s="2" t="n">
        <v>19420</v>
      </c>
      <c r="X399" s="2" t="n">
        <v>13125</v>
      </c>
      <c r="Y399" s="2" t="n">
        <v>3320</v>
      </c>
      <c r="AA399" s="2" t="n">
        <v>193.08</v>
      </c>
      <c r="AB399" s="2" t="n">
        <v>27.58</v>
      </c>
      <c r="AC399" s="2" t="n">
        <v>65.37</v>
      </c>
      <c r="AD399" s="2" t="n">
        <v>289.41</v>
      </c>
      <c r="AE399" s="2" t="n">
        <v>191.94</v>
      </c>
      <c r="AF399" s="2" t="n">
        <v>84410.39999999999</v>
      </c>
      <c r="AG399" s="2" t="n">
        <v>1896.69</v>
      </c>
    </row>
    <row r="400" ht="16" customHeight="1">
      <c r="A400" s="2" t="inlineStr">
        <is>
          <t>03/27/2025</t>
        </is>
      </c>
      <c r="B400" s="2" t="n">
        <v>109855</v>
      </c>
      <c r="C400" s="2" t="n">
        <v>1066055</v>
      </c>
      <c r="D400" s="2" t="n">
        <v>1040215</v>
      </c>
      <c r="E400" s="2" t="n">
        <v>100.64</v>
      </c>
      <c r="F400" s="2" t="n">
        <v>85.94</v>
      </c>
      <c r="G400" s="2" t="n"/>
      <c r="H400" s="2" t="n"/>
      <c r="I400" s="2" t="n">
        <v>92.25</v>
      </c>
      <c r="J400" s="2" t="n">
        <v>1476</v>
      </c>
      <c r="K400" s="2" t="n">
        <v>1464.66</v>
      </c>
      <c r="L400" s="2" t="n">
        <v>20310</v>
      </c>
      <c r="M400" s="2" t="n"/>
      <c r="N400" s="2" t="n">
        <v>10305</v>
      </c>
      <c r="O400" s="2" t="n"/>
      <c r="P400" s="2" t="n">
        <v>56.4</v>
      </c>
      <c r="Q400" s="2" t="n">
        <v>49.71</v>
      </c>
      <c r="R400" s="2" t="n">
        <v>12675</v>
      </c>
      <c r="S400" s="2" t="n">
        <v>12030</v>
      </c>
      <c r="T400" s="2" t="n">
        <v>21080</v>
      </c>
      <c r="U400" s="2" t="n">
        <v>19590</v>
      </c>
      <c r="V400" s="2" t="n">
        <v>19195</v>
      </c>
      <c r="W400" s="2" t="n">
        <v>19535</v>
      </c>
      <c r="X400" s="2" t="n">
        <v>13125</v>
      </c>
      <c r="Y400" s="2" t="n">
        <v>3415</v>
      </c>
      <c r="AA400" s="2" t="n">
        <v>198.24</v>
      </c>
      <c r="AB400" s="2" t="n">
        <v>27.75</v>
      </c>
      <c r="AC400" s="2" t="n">
        <v>66.91</v>
      </c>
      <c r="AD400" s="2" t="n">
        <v>324.59</v>
      </c>
      <c r="AE400" s="2" t="n">
        <v>194.58</v>
      </c>
      <c r="AF400" s="2" t="n">
        <v>87228.2</v>
      </c>
      <c r="AG400" s="2" t="n">
        <v>2003.67</v>
      </c>
    </row>
    <row r="401" ht="16" customHeight="1">
      <c r="A401" s="2" t="inlineStr">
        <is>
          <t>03/26/2025</t>
        </is>
      </c>
      <c r="B401" s="2" t="n">
        <v>109845</v>
      </c>
      <c r="C401" s="2" t="n">
        <v>1065805</v>
      </c>
      <c r="D401" s="2" t="n">
        <v>1039975</v>
      </c>
      <c r="E401" s="2" t="n">
        <v>100.63</v>
      </c>
      <c r="F401" s="2" t="n">
        <v>86.44</v>
      </c>
      <c r="G401" s="2" t="n"/>
      <c r="H401" s="2" t="n"/>
      <c r="I401" s="2" t="n">
        <v>92.92</v>
      </c>
      <c r="J401" s="2" t="n">
        <v>1480</v>
      </c>
      <c r="K401" s="2" t="n">
        <v>1467.87</v>
      </c>
      <c r="L401" s="2" t="n">
        <v>20215</v>
      </c>
      <c r="M401" s="2" t="n"/>
      <c r="N401" s="2" t="n">
        <v>10340</v>
      </c>
      <c r="O401" s="2" t="n"/>
      <c r="P401" s="2" t="n">
        <v>56.57</v>
      </c>
      <c r="Q401" s="2" t="n">
        <v>49.62</v>
      </c>
      <c r="R401" s="2" t="n">
        <v>12585</v>
      </c>
      <c r="S401" s="2" t="n">
        <v>12210</v>
      </c>
      <c r="T401" s="2" t="n">
        <v>21270</v>
      </c>
      <c r="U401" s="2" t="n">
        <v>19845</v>
      </c>
      <c r="V401" s="2" t="n">
        <v>19365</v>
      </c>
      <c r="W401" s="2" t="n">
        <v>19855</v>
      </c>
      <c r="X401" s="2" t="n">
        <v>13170</v>
      </c>
      <c r="Y401" s="2" t="n">
        <v>3440</v>
      </c>
      <c r="AA401" s="2" t="n">
        <v>199.42</v>
      </c>
      <c r="AB401" s="2" t="n">
        <v>27.8</v>
      </c>
      <c r="AC401" s="2" t="n">
        <v>67.11</v>
      </c>
      <c r="AD401" s="2" t="n">
        <v>329.31</v>
      </c>
      <c r="AE401" s="2" t="n">
        <v>195.58</v>
      </c>
      <c r="AF401" s="2" t="n">
        <v>86912</v>
      </c>
      <c r="AG401" s="2" t="n">
        <v>2009.59</v>
      </c>
    </row>
    <row r="402" ht="16" customHeight="1">
      <c r="A402" s="2" t="inlineStr">
        <is>
          <t>03/25/2025</t>
        </is>
      </c>
      <c r="B402" s="2" t="n">
        <v>109835</v>
      </c>
      <c r="C402" s="2" t="n">
        <v>1065725</v>
      </c>
      <c r="D402" s="2" t="n">
        <v>1039895</v>
      </c>
      <c r="E402" s="2" t="n">
        <v>100.61</v>
      </c>
      <c r="F402" s="2" t="n">
        <v>87.03</v>
      </c>
      <c r="G402" s="2" t="n"/>
      <c r="H402" s="2" t="n"/>
      <c r="I402" s="2" t="n">
        <v>92.5</v>
      </c>
      <c r="J402" s="2" t="n">
        <v>1474</v>
      </c>
      <c r="K402" s="2" t="n">
        <v>1462.98</v>
      </c>
      <c r="L402" s="2" t="n">
        <v>20185</v>
      </c>
      <c r="M402" s="2" t="n"/>
      <c r="N402" s="2" t="n">
        <v>10385</v>
      </c>
      <c r="O402" s="2" t="n"/>
      <c r="P402" s="2" t="n">
        <v>56.91</v>
      </c>
      <c r="Q402" s="2" t="n">
        <v>49.62</v>
      </c>
      <c r="R402" s="2" t="n">
        <v>12700</v>
      </c>
      <c r="S402" s="2" t="n">
        <v>12105</v>
      </c>
      <c r="T402" s="2" t="n">
        <v>21275</v>
      </c>
      <c r="U402" s="2" t="n">
        <v>19690</v>
      </c>
      <c r="V402" s="2" t="n">
        <v>19365</v>
      </c>
      <c r="W402" s="2" t="n">
        <v>19780</v>
      </c>
      <c r="X402" s="2" t="n">
        <v>13190</v>
      </c>
      <c r="Y402" s="2" t="n">
        <v>3415</v>
      </c>
      <c r="AA402" s="2" t="n">
        <v>203.13</v>
      </c>
      <c r="AB402" s="2" t="n">
        <v>27.84</v>
      </c>
      <c r="AC402" s="2" t="n">
        <v>67.88</v>
      </c>
      <c r="AD402" s="2" t="n">
        <v>341.81</v>
      </c>
      <c r="AE402" s="2" t="n">
        <v>195.98</v>
      </c>
      <c r="AF402" s="2" t="n">
        <v>87404</v>
      </c>
      <c r="AG402" s="2" t="n">
        <v>2066.19</v>
      </c>
    </row>
    <row r="403" ht="16" customHeight="1">
      <c r="A403" s="2" t="inlineStr">
        <is>
          <t>03/24/2025</t>
        </is>
      </c>
      <c r="B403" s="2" t="n">
        <v>109830</v>
      </c>
      <c r="C403" s="2" t="n">
        <v>1065655</v>
      </c>
      <c r="D403" s="2" t="n">
        <v>1039815</v>
      </c>
      <c r="E403" s="2" t="n">
        <v>100.6</v>
      </c>
      <c r="F403" s="2" t="n">
        <v>86.62</v>
      </c>
      <c r="G403" s="2" t="n"/>
      <c r="H403" s="2" t="n"/>
      <c r="I403" s="2" t="n">
        <v>90.25</v>
      </c>
      <c r="J403" s="2" t="n">
        <v>1472</v>
      </c>
      <c r="K403" s="2" t="n">
        <v>1466.98</v>
      </c>
      <c r="L403" s="2" t="n">
        <v>20270</v>
      </c>
      <c r="M403" s="2" t="n"/>
      <c r="N403" s="2" t="n">
        <v>10480</v>
      </c>
      <c r="O403" s="2" t="n"/>
      <c r="P403" s="2" t="n">
        <v>56.85</v>
      </c>
      <c r="Q403" s="2" t="n">
        <v>49.56</v>
      </c>
      <c r="R403" s="2" t="n">
        <v>12590</v>
      </c>
      <c r="S403" s="2" t="n">
        <v>12300</v>
      </c>
      <c r="T403" s="2" t="n">
        <v>21060</v>
      </c>
      <c r="U403" s="2" t="n">
        <v>19770</v>
      </c>
      <c r="V403" s="2" t="n">
        <v>19180</v>
      </c>
      <c r="W403" s="2" t="n">
        <v>19545</v>
      </c>
      <c r="X403" s="2" t="n">
        <v>13140</v>
      </c>
      <c r="Y403" s="2" t="n">
        <v>3420</v>
      </c>
      <c r="AA403" s="2" t="n">
        <v>201.88</v>
      </c>
      <c r="AB403" s="2" t="n">
        <v>28.09</v>
      </c>
      <c r="AC403" s="2" t="n">
        <v>67.73</v>
      </c>
      <c r="AD403" s="2" t="n">
        <v>335.72</v>
      </c>
      <c r="AE403" s="2" t="n">
        <v>196.49</v>
      </c>
      <c r="AF403" s="2" t="n">
        <v>87490</v>
      </c>
      <c r="AG403" s="2" t="n">
        <v>2078.73</v>
      </c>
    </row>
    <row r="404" ht="16" customHeight="1">
      <c r="A404" s="2" t="inlineStr">
        <is>
          <t>03/23/2025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>
        <v>1476</v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AA404" s="2" t="n"/>
      <c r="AB404" s="2" t="n"/>
      <c r="AC404" s="2" t="n"/>
      <c r="AD404" s="2" t="n"/>
      <c r="AE404" s="2" t="n"/>
      <c r="AF404" s="2" t="n">
        <v>86077.39999999999</v>
      </c>
      <c r="AG404" s="2" t="n">
        <v>2006.02</v>
      </c>
    </row>
    <row r="405" ht="16" customHeight="1">
      <c r="A405" s="2" t="inlineStr">
        <is>
          <t>03/22/2025</t>
        </is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>
        <v>1481</v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AA405" s="2" t="n"/>
      <c r="AB405" s="2" t="n"/>
      <c r="AC405" s="2" t="n"/>
      <c r="AD405" s="2" t="n"/>
      <c r="AE405" s="2" t="n"/>
      <c r="AF405" s="2" t="n">
        <v>83840.5</v>
      </c>
      <c r="AG405" s="2" t="n">
        <v>1980.8</v>
      </c>
    </row>
    <row r="406" ht="16" customHeight="1">
      <c r="A406" s="2" t="inlineStr">
        <is>
          <t>03/21/2025</t>
        </is>
      </c>
      <c r="B406" s="2" t="n">
        <v>109820</v>
      </c>
      <c r="C406" s="2" t="n">
        <v>1065570</v>
      </c>
      <c r="D406" s="2" t="n">
        <v>1039735</v>
      </c>
      <c r="E406" s="2" t="n">
        <v>100.58</v>
      </c>
      <c r="F406" s="2" t="n">
        <v>85</v>
      </c>
      <c r="G406" s="2" t="n"/>
      <c r="H406" s="2" t="n"/>
      <c r="I406" s="2" t="n"/>
      <c r="J406" s="2" t="n">
        <v>1481</v>
      </c>
      <c r="K406" s="2" t="n">
        <v>1463.32</v>
      </c>
      <c r="L406" s="2" t="n">
        <v>20350</v>
      </c>
      <c r="M406" s="2" t="n"/>
      <c r="N406" s="2" t="n">
        <v>10490</v>
      </c>
      <c r="O406" s="2" t="n"/>
      <c r="P406" s="2" t="n">
        <v>57.43</v>
      </c>
      <c r="Q406" s="2" t="n">
        <v>49.62</v>
      </c>
      <c r="R406" s="2" t="n">
        <v>12640</v>
      </c>
      <c r="S406" s="2" t="n">
        <v>12190</v>
      </c>
      <c r="T406" s="2" t="n">
        <v>20820</v>
      </c>
      <c r="U406" s="2" t="n">
        <v>19830</v>
      </c>
      <c r="V406" s="2" t="n">
        <v>18945</v>
      </c>
      <c r="W406" s="2" t="n">
        <v>19225</v>
      </c>
      <c r="X406" s="2" t="n">
        <v>13065</v>
      </c>
      <c r="Y406" s="2" t="n">
        <v>3405</v>
      </c>
      <c r="AA406" s="2" t="n">
        <v>198.01</v>
      </c>
      <c r="AB406" s="2" t="n">
        <v>27.76</v>
      </c>
      <c r="AC406" s="2" t="n">
        <v>66.56999999999999</v>
      </c>
      <c r="AD406" s="2" t="n">
        <v>304</v>
      </c>
      <c r="AE406" s="2" t="n">
        <v>194.17</v>
      </c>
      <c r="AF406" s="2" t="n">
        <v>84073.3</v>
      </c>
      <c r="AG406" s="2" t="n">
        <v>1965.58</v>
      </c>
    </row>
    <row r="407" ht="16" customHeight="1">
      <c r="A407" s="2" t="inlineStr">
        <is>
          <t>03/20/2025</t>
        </is>
      </c>
      <c r="B407" s="2" t="n">
        <v>109795</v>
      </c>
      <c r="C407" s="2" t="n">
        <v>1065485</v>
      </c>
      <c r="D407" s="2" t="n">
        <v>1039640</v>
      </c>
      <c r="E407" s="2" t="n">
        <v>100.55</v>
      </c>
      <c r="F407" s="2" t="n">
        <v>83</v>
      </c>
      <c r="G407" s="2" t="n"/>
      <c r="H407" s="2" t="n"/>
      <c r="I407" s="2" t="n"/>
      <c r="J407" s="2" t="n">
        <v>1476</v>
      </c>
      <c r="K407" s="2" t="n">
        <v>1465.72</v>
      </c>
      <c r="L407" s="2" t="n">
        <v>20450</v>
      </c>
      <c r="M407" s="2" t="n"/>
      <c r="N407" s="2" t="n">
        <v>10490</v>
      </c>
      <c r="O407" s="2" t="n"/>
      <c r="P407" s="2" t="n">
        <v>57.73</v>
      </c>
      <c r="Q407" s="2" t="n">
        <v>49.57</v>
      </c>
      <c r="R407" s="2" t="n">
        <v>12765</v>
      </c>
      <c r="S407" s="2" t="n">
        <v>12395</v>
      </c>
      <c r="T407" s="2" t="n">
        <v>20910</v>
      </c>
      <c r="U407" s="2" t="n">
        <v>19755</v>
      </c>
      <c r="V407" s="2" t="n">
        <v>19040</v>
      </c>
      <c r="W407" s="2" t="n">
        <v>19355</v>
      </c>
      <c r="X407" s="2" t="n">
        <v>13050</v>
      </c>
      <c r="Y407" s="2" t="n">
        <v>3415</v>
      </c>
      <c r="AA407" s="2" t="n">
        <v>197.3</v>
      </c>
      <c r="AB407" s="2" t="n">
        <v>27.95</v>
      </c>
      <c r="AC407" s="2" t="n">
        <v>66.56</v>
      </c>
      <c r="AD407" s="2" t="n">
        <v>302.07</v>
      </c>
      <c r="AE407" s="2" t="n">
        <v>194.5</v>
      </c>
      <c r="AF407" s="2" t="n">
        <v>84208.10000000001</v>
      </c>
      <c r="AG407" s="2" t="n">
        <v>1983.57</v>
      </c>
    </row>
    <row r="408" ht="16" customHeight="1">
      <c r="A408" s="2" t="inlineStr">
        <is>
          <t>03/19/2025</t>
        </is>
      </c>
      <c r="B408" s="2" t="n">
        <v>109785</v>
      </c>
      <c r="C408" s="2" t="n">
        <v>1065235</v>
      </c>
      <c r="D408" s="2" t="n">
        <v>1039400</v>
      </c>
      <c r="E408" s="2" t="n">
        <v>100.55</v>
      </c>
      <c r="F408" s="2" t="n">
        <v>83.90000000000001</v>
      </c>
      <c r="G408" s="2" t="n"/>
      <c r="H408" s="2" t="n"/>
      <c r="I408" s="2" t="n"/>
      <c r="J408" s="2" t="n">
        <v>1467</v>
      </c>
      <c r="K408" s="2" t="n">
        <v>1460.7</v>
      </c>
      <c r="L408" s="2" t="n">
        <v>20370</v>
      </c>
      <c r="M408" s="2" t="n"/>
      <c r="N408" s="2" t="n">
        <v>10365</v>
      </c>
      <c r="O408" s="2" t="n"/>
      <c r="P408" s="2" t="n">
        <v>57.61</v>
      </c>
      <c r="Q408" s="2" t="n">
        <v>49.53</v>
      </c>
      <c r="R408" s="2" t="n">
        <v>12655</v>
      </c>
      <c r="S408" s="2" t="n">
        <v>12720</v>
      </c>
      <c r="T408" s="2" t="n">
        <v>20530</v>
      </c>
      <c r="U408" s="2" t="n">
        <v>19650</v>
      </c>
      <c r="V408" s="2" t="n">
        <v>18695</v>
      </c>
      <c r="W408" s="2" t="n">
        <v>18960</v>
      </c>
      <c r="X408" s="2" t="n">
        <v>12910</v>
      </c>
      <c r="Y408" s="2" t="n">
        <v>3435</v>
      </c>
      <c r="AA408" s="2" t="n">
        <v>197.99</v>
      </c>
      <c r="AB408" s="2" t="n">
        <v>28.03</v>
      </c>
      <c r="AC408" s="2" t="n">
        <v>66.7</v>
      </c>
      <c r="AD408" s="2" t="n">
        <v>304.23</v>
      </c>
      <c r="AE408" s="2" t="n">
        <v>195.33</v>
      </c>
      <c r="AF408" s="2" t="n">
        <v>86841</v>
      </c>
      <c r="AG408" s="2" t="n">
        <v>2056.62</v>
      </c>
    </row>
    <row r="409" ht="16" customHeight="1">
      <c r="A409" s="2" t="inlineStr">
        <is>
          <t>03/18/2025</t>
        </is>
      </c>
      <c r="B409" s="2" t="n">
        <v>109775</v>
      </c>
      <c r="C409" s="2" t="n">
        <v>1065160</v>
      </c>
      <c r="D409" s="2" t="n">
        <v>1039320</v>
      </c>
      <c r="E409" s="2" t="n">
        <v>100.53</v>
      </c>
      <c r="F409" s="2" t="n">
        <v>84.97</v>
      </c>
      <c r="G409" s="2" t="n"/>
      <c r="H409" s="2" t="n"/>
      <c r="I409" s="2" t="n"/>
      <c r="J409" s="2" t="n">
        <v>1467</v>
      </c>
      <c r="K409" s="2" t="n">
        <v>1448.83</v>
      </c>
      <c r="L409" s="2" t="n">
        <v>20175</v>
      </c>
      <c r="M409" s="2" t="n"/>
      <c r="N409" s="2" t="n">
        <v>10400</v>
      </c>
      <c r="O409" s="2" t="n"/>
      <c r="P409" s="2" t="n">
        <v>57.38</v>
      </c>
      <c r="Q409" s="2" t="n">
        <v>49.42</v>
      </c>
      <c r="R409" s="2" t="n">
        <v>12670</v>
      </c>
      <c r="S409" s="2" t="n">
        <v>12885</v>
      </c>
      <c r="T409" s="2" t="n">
        <v>20675</v>
      </c>
      <c r="U409" s="2" t="n">
        <v>19460</v>
      </c>
      <c r="V409" s="2" t="n">
        <v>18820</v>
      </c>
      <c r="W409" s="2" t="n">
        <v>19175</v>
      </c>
      <c r="X409" s="2" t="n">
        <v>12955</v>
      </c>
      <c r="Y409" s="2" t="n">
        <v>3435</v>
      </c>
      <c r="AA409" s="2" t="n">
        <v>195.48</v>
      </c>
      <c r="AB409" s="2" t="n">
        <v>27.92</v>
      </c>
      <c r="AC409" s="2" t="n">
        <v>66.01000000000001</v>
      </c>
      <c r="AD409" s="2" t="n">
        <v>283.19</v>
      </c>
      <c r="AE409" s="2" t="n">
        <v>193.86</v>
      </c>
      <c r="AF409" s="2" t="n">
        <v>82719.10000000001</v>
      </c>
      <c r="AG409" s="2" t="n">
        <v>1932.61</v>
      </c>
    </row>
    <row r="410" ht="16" customHeight="1">
      <c r="A410" s="2" t="inlineStr">
        <is>
          <t>03/17/2025</t>
        </is>
      </c>
      <c r="B410" s="2" t="n">
        <v>109775</v>
      </c>
      <c r="C410" s="2" t="n">
        <v>1065080</v>
      </c>
      <c r="D410" s="2" t="n">
        <v>1039235</v>
      </c>
      <c r="E410" s="2" t="n">
        <v>100.52</v>
      </c>
      <c r="F410" s="2" t="n">
        <v>88.2</v>
      </c>
      <c r="G410" s="2" t="n"/>
      <c r="H410" s="2" t="n"/>
      <c r="I410" s="2" t="n"/>
      <c r="J410" s="2" t="n">
        <v>1463</v>
      </c>
      <c r="K410" s="2" t="n">
        <v>1442.95</v>
      </c>
      <c r="L410" s="2" t="n">
        <v>19900</v>
      </c>
      <c r="M410" s="2" t="n"/>
      <c r="N410" s="2" t="n">
        <v>10335</v>
      </c>
      <c r="O410" s="2" t="n"/>
      <c r="P410" s="2" t="n">
        <v>57.28</v>
      </c>
      <c r="Q410" s="2" t="n">
        <v>49.38</v>
      </c>
      <c r="R410" s="2" t="n">
        <v>12470</v>
      </c>
      <c r="S410" s="2" t="n">
        <v>12810</v>
      </c>
      <c r="T410" s="2" t="n">
        <v>20385</v>
      </c>
      <c r="U410" s="2" t="n">
        <v>19390</v>
      </c>
      <c r="V410" s="2" t="n">
        <v>18555</v>
      </c>
      <c r="W410" s="2" t="n">
        <v>18925</v>
      </c>
      <c r="X410" s="2" t="n">
        <v>12870</v>
      </c>
      <c r="Y410" s="2" t="n">
        <v>3410</v>
      </c>
      <c r="AA410" s="2" t="n">
        <v>198.76</v>
      </c>
      <c r="AB410" s="2" t="n">
        <v>27.96</v>
      </c>
      <c r="AC410" s="2" t="n">
        <v>66.7</v>
      </c>
      <c r="AD410" s="2" t="n">
        <v>294.27</v>
      </c>
      <c r="AE410" s="2" t="n">
        <v>195.09</v>
      </c>
      <c r="AF410" s="2" t="n">
        <v>84019.10000000001</v>
      </c>
      <c r="AG410" s="2" t="n">
        <v>1926.35</v>
      </c>
    </row>
    <row r="411" ht="16" customHeight="1">
      <c r="A411" s="2" t="inlineStr">
        <is>
          <t>03/16/2025</t>
        </is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>
        <v>1474</v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AA411" s="2" t="n"/>
      <c r="AB411" s="2" t="n"/>
      <c r="AC411" s="2" t="n"/>
      <c r="AD411" s="2" t="n"/>
      <c r="AE411" s="2" t="n"/>
      <c r="AF411" s="2" t="n">
        <v>82578.39999999999</v>
      </c>
      <c r="AG411" s="2" t="n">
        <v>1887.65</v>
      </c>
    </row>
    <row r="412" ht="16" customHeight="1">
      <c r="A412" s="2" t="inlineStr">
        <is>
          <t>03/15/2025</t>
        </is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>
        <v>1472</v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AA412" s="2" t="n"/>
      <c r="AB412" s="2" t="n"/>
      <c r="AC412" s="2" t="n"/>
      <c r="AD412" s="2" t="n"/>
      <c r="AE412" s="2" t="n"/>
      <c r="AF412" s="2" t="n">
        <v>84341.3</v>
      </c>
      <c r="AG412" s="2" t="n">
        <v>1937.17</v>
      </c>
    </row>
    <row r="413" ht="16" customHeight="1">
      <c r="A413" s="2" t="inlineStr">
        <is>
          <t>03/14/2025</t>
        </is>
      </c>
      <c r="B413" s="2" t="n">
        <v>109765</v>
      </c>
      <c r="C413" s="2" t="n">
        <v>1064995</v>
      </c>
      <c r="D413" s="2" t="n">
        <v>1039160</v>
      </c>
      <c r="E413" s="2" t="n">
        <v>100.51</v>
      </c>
      <c r="F413" s="2" t="n">
        <v>88.34</v>
      </c>
      <c r="G413" s="2" t="n"/>
      <c r="H413" s="2" t="n"/>
      <c r="I413" s="2" t="n"/>
      <c r="J413" s="2" t="n">
        <v>1475</v>
      </c>
      <c r="K413" s="2" t="n">
        <v>1450.62</v>
      </c>
      <c r="L413" s="2" t="n">
        <v>20010</v>
      </c>
      <c r="M413" s="2" t="n"/>
      <c r="N413" s="2" t="n">
        <v>10370</v>
      </c>
      <c r="O413" s="2" t="n"/>
      <c r="P413" s="2" t="n">
        <v>57.06</v>
      </c>
      <c r="Q413" s="2" t="n">
        <v>49.4</v>
      </c>
      <c r="R413" s="2" t="n">
        <v>12475</v>
      </c>
      <c r="S413" s="2" t="n">
        <v>12525</v>
      </c>
      <c r="T413" s="2" t="n">
        <v>20295</v>
      </c>
      <c r="U413" s="2" t="n">
        <v>19010</v>
      </c>
      <c r="V413" s="2" t="n">
        <v>18455</v>
      </c>
      <c r="W413" s="2" t="n">
        <v>18840</v>
      </c>
      <c r="X413" s="2" t="n">
        <v>12905</v>
      </c>
      <c r="Y413" s="2" t="n">
        <v>3405</v>
      </c>
      <c r="AA413" s="2" t="n">
        <v>197.48</v>
      </c>
      <c r="AB413" s="2" t="n">
        <v>27.64</v>
      </c>
      <c r="AC413" s="2" t="n">
        <v>66.2</v>
      </c>
      <c r="AD413" s="2" t="n">
        <v>297.49</v>
      </c>
      <c r="AE413" s="2" t="n">
        <v>193.08</v>
      </c>
      <c r="AF413" s="2" t="n">
        <v>83977.10000000001</v>
      </c>
      <c r="AG413" s="2" t="n">
        <v>1911.62</v>
      </c>
    </row>
    <row r="414" ht="16" customHeight="1">
      <c r="A414" s="2" t="inlineStr">
        <is>
          <t>03/13/2025</t>
        </is>
      </c>
      <c r="B414" s="2" t="n">
        <v>109735</v>
      </c>
      <c r="C414" s="2" t="n">
        <v>1064910</v>
      </c>
      <c r="D414" s="2" t="n">
        <v>1039065</v>
      </c>
      <c r="E414" s="2" t="n">
        <v>100.48</v>
      </c>
      <c r="F414" s="2" t="n">
        <v>86.77</v>
      </c>
      <c r="G414" s="2" t="n"/>
      <c r="H414" s="2" t="n"/>
      <c r="I414" s="2" t="n"/>
      <c r="J414" s="2" t="n">
        <v>1481</v>
      </c>
      <c r="K414" s="2" t="n">
        <v>1453.23</v>
      </c>
      <c r="L414" s="2" t="n">
        <v>19730</v>
      </c>
      <c r="M414" s="2" t="n"/>
      <c r="N414" s="2" t="n">
        <v>10350</v>
      </c>
      <c r="O414" s="2" t="n"/>
      <c r="P414" s="2" t="n">
        <v>57.35</v>
      </c>
      <c r="Q414" s="2" t="n">
        <v>49.46</v>
      </c>
      <c r="R414" s="2" t="n">
        <v>12675</v>
      </c>
      <c r="S414" s="2" t="n">
        <v>12325</v>
      </c>
      <c r="T414" s="2" t="n">
        <v>20355</v>
      </c>
      <c r="U414" s="2" t="n">
        <v>18955</v>
      </c>
      <c r="V414" s="2" t="n">
        <v>18525</v>
      </c>
      <c r="W414" s="2" t="n">
        <v>18875</v>
      </c>
      <c r="X414" s="2" t="n">
        <v>12910</v>
      </c>
      <c r="Y414" s="2" t="n">
        <v>3380</v>
      </c>
      <c r="AA414" s="2" t="n">
        <v>192.82</v>
      </c>
      <c r="AB414" s="2" t="n">
        <v>27.29</v>
      </c>
      <c r="AC414" s="2" t="n">
        <v>64.88</v>
      </c>
      <c r="AD414" s="2" t="n">
        <v>263.26</v>
      </c>
      <c r="AE414" s="2" t="n">
        <v>190.34</v>
      </c>
      <c r="AF414" s="2" t="n">
        <v>81100.2</v>
      </c>
      <c r="AG414" s="2" t="n">
        <v>1864.69</v>
      </c>
    </row>
    <row r="415" ht="16" customHeight="1">
      <c r="A415" s="2" t="inlineStr">
        <is>
          <t>03/12/2025</t>
        </is>
      </c>
      <c r="B415" s="2" t="n">
        <v>109730</v>
      </c>
      <c r="C415" s="2" t="n">
        <v>1064665</v>
      </c>
      <c r="D415" s="2" t="n">
        <v>1038830</v>
      </c>
      <c r="E415" s="2" t="n">
        <v>100.45</v>
      </c>
      <c r="F415" s="2" t="n">
        <v>87.25</v>
      </c>
      <c r="G415" s="2" t="n"/>
      <c r="H415" s="2" t="n"/>
      <c r="I415" s="2" t="n"/>
      <c r="J415" s="2" t="n">
        <v>1481</v>
      </c>
      <c r="K415" s="2" t="n">
        <v>1451</v>
      </c>
      <c r="L415" s="2" t="n">
        <v>19660</v>
      </c>
      <c r="M415" s="2" t="n"/>
      <c r="N415" s="2" t="n">
        <v>10355</v>
      </c>
      <c r="O415" s="2" t="n"/>
      <c r="P415" s="2" t="n">
        <v>56.89</v>
      </c>
      <c r="Q415" s="2" t="n">
        <v>49.46</v>
      </c>
      <c r="R415" s="2" t="n">
        <v>12680</v>
      </c>
      <c r="S415" s="2" t="n">
        <v>12465</v>
      </c>
      <c r="T415" s="2" t="n">
        <v>20360</v>
      </c>
      <c r="U415" s="2" t="n">
        <v>19010</v>
      </c>
      <c r="V415" s="2" t="n">
        <v>18535</v>
      </c>
      <c r="W415" s="2" t="n">
        <v>18845</v>
      </c>
      <c r="X415" s="2" t="n">
        <v>12880</v>
      </c>
      <c r="Y415" s="2" t="n">
        <v>3395</v>
      </c>
      <c r="AA415" s="2" t="n">
        <v>196.38</v>
      </c>
      <c r="AB415" s="2" t="n">
        <v>27.44</v>
      </c>
      <c r="AC415" s="2" t="n">
        <v>65.75</v>
      </c>
      <c r="AD415" s="2" t="n">
        <v>262.55</v>
      </c>
      <c r="AE415" s="2" t="n">
        <v>192.17</v>
      </c>
      <c r="AF415" s="2" t="n">
        <v>83664.3</v>
      </c>
      <c r="AG415" s="2" t="n">
        <v>1908.22</v>
      </c>
    </row>
    <row r="416" ht="16" customHeight="1">
      <c r="A416" s="2" t="inlineStr">
        <is>
          <t>03/11/2025</t>
        </is>
      </c>
      <c r="B416" s="2" t="n">
        <v>109725</v>
      </c>
      <c r="C416" s="2" t="n">
        <v>1064580</v>
      </c>
      <c r="D416" s="2" t="n">
        <v>1038745</v>
      </c>
      <c r="E416" s="2" t="n">
        <v>100.45</v>
      </c>
      <c r="F416" s="2" t="n">
        <v>87.03</v>
      </c>
      <c r="G416" s="2" t="n"/>
      <c r="H416" s="2" t="n"/>
      <c r="I416" s="2" t="n"/>
      <c r="J416" s="2" t="n">
        <v>1483</v>
      </c>
      <c r="K416" s="2" t="n">
        <v>1451.08</v>
      </c>
      <c r="L416" s="2" t="n">
        <v>19690</v>
      </c>
      <c r="M416" s="2" t="n"/>
      <c r="N416" s="2" t="n">
        <v>10510</v>
      </c>
      <c r="O416" s="2" t="n"/>
      <c r="P416" s="2" t="n">
        <v>57.22</v>
      </c>
      <c r="Q416" s="2" t="n">
        <v>49.47</v>
      </c>
      <c r="R416" s="2" t="n">
        <v>12775</v>
      </c>
      <c r="S416" s="2" t="n">
        <v>12370</v>
      </c>
      <c r="T416" s="2" t="n">
        <v>20625</v>
      </c>
      <c r="U416" s="2" t="n">
        <v>18735</v>
      </c>
      <c r="V416" s="2" t="n">
        <v>18770</v>
      </c>
      <c r="W416" s="2" t="n">
        <v>18970</v>
      </c>
      <c r="X416" s="2" t="n">
        <v>12980</v>
      </c>
      <c r="Y416" s="2" t="n">
        <v>3425</v>
      </c>
      <c r="AA416" s="2" t="n">
        <v>194.13</v>
      </c>
      <c r="AB416" s="2" t="n">
        <v>27.74</v>
      </c>
      <c r="AC416" s="2" t="n">
        <v>65.42</v>
      </c>
      <c r="AD416" s="2" t="n">
        <v>260.59</v>
      </c>
      <c r="AE416" s="2" t="n">
        <v>193.39</v>
      </c>
      <c r="AF416" s="2" t="n">
        <v>82921.10000000001</v>
      </c>
      <c r="AG416" s="2" t="n">
        <v>1922.28</v>
      </c>
    </row>
    <row r="417" ht="16" customHeight="1">
      <c r="A417" s="2" t="inlineStr">
        <is>
          <t>03/10/2025</t>
        </is>
      </c>
      <c r="B417" s="2" t="n">
        <v>109720</v>
      </c>
      <c r="C417" s="2" t="n">
        <v>1064480</v>
      </c>
      <c r="D417" s="2" t="n">
        <v>1038665</v>
      </c>
      <c r="E417" s="2" t="n">
        <v>100.43</v>
      </c>
      <c r="F417" s="2" t="n">
        <v>84.8</v>
      </c>
      <c r="G417" s="2" t="n"/>
      <c r="H417" s="2" t="n"/>
      <c r="I417" s="2" t="n"/>
      <c r="J417" s="2" t="n">
        <v>1496</v>
      </c>
      <c r="K417" s="2" t="n">
        <v>1459.23</v>
      </c>
      <c r="L417" s="2" t="n">
        <v>19775</v>
      </c>
      <c r="M417" s="2" t="n"/>
      <c r="N417" s="2" t="n">
        <v>10365</v>
      </c>
      <c r="O417" s="2" t="n"/>
      <c r="P417" s="2" t="n">
        <v>57.6</v>
      </c>
      <c r="Q417" s="2" t="n">
        <v>49.49</v>
      </c>
      <c r="R417" s="2" t="n">
        <v>12835</v>
      </c>
      <c r="S417" s="2" t="n">
        <v>12475</v>
      </c>
      <c r="T417" s="2" t="n">
        <v>20970</v>
      </c>
      <c r="U417" s="2" t="n">
        <v>18935</v>
      </c>
      <c r="V417" s="2" t="n">
        <v>19080</v>
      </c>
      <c r="W417" s="2" t="n">
        <v>19490</v>
      </c>
      <c r="X417" s="2" t="n">
        <v>13010</v>
      </c>
      <c r="Y417" s="2" t="n">
        <v>3440</v>
      </c>
      <c r="AA417" s="2" t="n">
        <v>194.87</v>
      </c>
      <c r="AB417" s="2" t="n">
        <v>28.38</v>
      </c>
      <c r="AC417" s="2" t="n">
        <v>65.95</v>
      </c>
      <c r="AD417" s="2" t="n">
        <v>239.27</v>
      </c>
      <c r="AE417" s="2" t="n">
        <v>196.09</v>
      </c>
      <c r="AF417" s="2" t="n">
        <v>78575.89999999999</v>
      </c>
      <c r="AG417" s="2" t="n">
        <v>1864.4</v>
      </c>
    </row>
    <row r="418" ht="16" customHeight="1">
      <c r="A418" s="2" t="inlineStr">
        <is>
          <t>03/09/2025</t>
        </is>
      </c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>
        <v>1500</v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AA418" s="2" t="n"/>
      <c r="AB418" s="2" t="n"/>
      <c r="AC418" s="2" t="n"/>
      <c r="AD418" s="2" t="n"/>
      <c r="AE418" s="2" t="n"/>
      <c r="AF418" s="2" t="n">
        <v>80691.60000000001</v>
      </c>
      <c r="AG418" s="2" t="n">
        <v>2019.89</v>
      </c>
    </row>
    <row r="419" ht="16" customHeight="1">
      <c r="A419" s="2" t="inlineStr">
        <is>
          <t>03/08/2025</t>
        </is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>
        <v>1492</v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AA419" s="2" t="n"/>
      <c r="AB419" s="2" t="n"/>
      <c r="AC419" s="2" t="n"/>
      <c r="AD419" s="2" t="n"/>
      <c r="AE419" s="2" t="n"/>
      <c r="AF419" s="2" t="n">
        <v>86221.89999999999</v>
      </c>
      <c r="AG419" s="2" t="n">
        <v>2203.59</v>
      </c>
    </row>
    <row r="420" ht="16" customHeight="1">
      <c r="A420" s="2" t="inlineStr">
        <is>
          <t>03/07/2025</t>
        </is>
      </c>
      <c r="B420" s="2" t="n">
        <v>109710</v>
      </c>
      <c r="C420" s="2" t="n">
        <v>1064410</v>
      </c>
      <c r="D420" s="2" t="n">
        <v>1038575</v>
      </c>
      <c r="E420" s="2" t="n">
        <v>100.43</v>
      </c>
      <c r="F420" s="2" t="n">
        <v>92.40000000000001</v>
      </c>
      <c r="G420" s="2" t="n"/>
      <c r="H420" s="2" t="n"/>
      <c r="I420" s="2" t="n"/>
      <c r="J420" s="2" t="n">
        <v>1492</v>
      </c>
      <c r="K420" s="2" t="n">
        <v>1449</v>
      </c>
      <c r="L420" s="2" t="n">
        <v>19855</v>
      </c>
      <c r="M420" s="2" t="n"/>
      <c r="N420" s="2" t="n">
        <v>10415</v>
      </c>
      <c r="O420" s="2" t="n"/>
      <c r="P420" s="2" t="n">
        <v>57.02</v>
      </c>
      <c r="Q420" s="2" t="n">
        <v>49.38</v>
      </c>
      <c r="R420" s="2" t="n">
        <v>12925</v>
      </c>
      <c r="S420" s="2" t="n">
        <v>12545</v>
      </c>
      <c r="T420" s="2" t="n">
        <v>20890</v>
      </c>
      <c r="U420" s="2" t="n">
        <v>18900</v>
      </c>
      <c r="V420" s="2" t="n">
        <v>19010</v>
      </c>
      <c r="W420" s="2" t="n">
        <v>19445</v>
      </c>
      <c r="X420" s="2" t="n">
        <v>12960</v>
      </c>
      <c r="Y420" s="2" t="n">
        <v>3470</v>
      </c>
      <c r="AA420" s="2" t="n">
        <v>202.5</v>
      </c>
      <c r="AB420" s="2" t="n">
        <v>28.46</v>
      </c>
      <c r="AC420" s="2" t="n">
        <v>67.75</v>
      </c>
      <c r="AD420" s="2" t="n">
        <v>287.18</v>
      </c>
      <c r="AE420" s="2" t="n">
        <v>199.59</v>
      </c>
      <c r="AF420" s="2" t="n">
        <v>86531.2</v>
      </c>
      <c r="AG420" s="2" t="n">
        <v>2141.17</v>
      </c>
    </row>
    <row r="421" ht="16" customHeight="1">
      <c r="A421" s="2" t="inlineStr">
        <is>
          <t>03/06/2025</t>
        </is>
      </c>
      <c r="B421" s="2" t="n">
        <v>109680</v>
      </c>
      <c r="C421" s="2" t="n">
        <v>1064320</v>
      </c>
      <c r="D421" s="2" t="n">
        <v>1038460</v>
      </c>
      <c r="E421" s="2" t="n">
        <v>100.4</v>
      </c>
      <c r="F421" s="2" t="n">
        <v>94.40000000000001</v>
      </c>
      <c r="G421" s="2" t="n"/>
      <c r="H421" s="2" t="n"/>
      <c r="I421" s="2" t="n"/>
      <c r="J421" s="2" t="n">
        <v>1488</v>
      </c>
      <c r="K421" s="2" t="n">
        <v>1447.34</v>
      </c>
      <c r="L421" s="2" t="n">
        <v>20255</v>
      </c>
      <c r="M421" s="2" t="n"/>
      <c r="N421" s="2" t="n">
        <v>10295</v>
      </c>
      <c r="O421" s="2" t="n"/>
      <c r="P421" s="2" t="n">
        <v>57.19</v>
      </c>
      <c r="Q421" s="2" t="n">
        <v>49.38</v>
      </c>
      <c r="R421" s="2" t="n">
        <v>13175</v>
      </c>
      <c r="S421" s="2" t="n">
        <v>12695</v>
      </c>
      <c r="T421" s="2" t="n">
        <v>21170</v>
      </c>
      <c r="U421" s="2" t="n">
        <v>18980</v>
      </c>
      <c r="V421" s="2" t="n">
        <v>19270</v>
      </c>
      <c r="W421" s="2" t="n">
        <v>19845</v>
      </c>
      <c r="X421" s="2" t="n">
        <v>12990</v>
      </c>
      <c r="Y421" s="2" t="n">
        <v>3490</v>
      </c>
      <c r="AA421" s="2" t="n">
        <v>201.06</v>
      </c>
      <c r="AB421" s="2" t="n">
        <v>28.07</v>
      </c>
      <c r="AC421" s="2" t="n">
        <v>67.39</v>
      </c>
      <c r="AD421" s="2" t="n">
        <v>304.11</v>
      </c>
      <c r="AE421" s="2" t="n">
        <v>197.75</v>
      </c>
      <c r="AF421" s="2" t="n">
        <v>89930.89999999999</v>
      </c>
      <c r="AG421" s="2" t="n">
        <v>2202.39</v>
      </c>
    </row>
    <row r="422" ht="16" customHeight="1">
      <c r="A422" s="2" t="inlineStr">
        <is>
          <t>03/05/2025</t>
        </is>
      </c>
      <c r="B422" s="2" t="n">
        <v>109675</v>
      </c>
      <c r="C422" s="2" t="n">
        <v>1064055</v>
      </c>
      <c r="D422" s="2" t="n">
        <v>1038245</v>
      </c>
      <c r="E422" s="2" t="n">
        <v>100.37</v>
      </c>
      <c r="F422" s="2" t="n">
        <v>94.34999999999999</v>
      </c>
      <c r="G422" s="2" t="n"/>
      <c r="H422" s="2" t="n"/>
      <c r="I422" s="2" t="n"/>
      <c r="J422" s="2" t="n">
        <v>1491</v>
      </c>
      <c r="K422" s="2" t="n">
        <v>1445</v>
      </c>
      <c r="L422" s="2" t="n">
        <v>20395</v>
      </c>
      <c r="M422" s="2" t="n"/>
      <c r="N422" s="2" t="n">
        <v>10470</v>
      </c>
      <c r="O422" s="2" t="n"/>
      <c r="P422" s="2" t="n">
        <v>57.34</v>
      </c>
      <c r="Q422" s="2" t="n">
        <v>49.39</v>
      </c>
      <c r="R422" s="2" t="n">
        <v>13320</v>
      </c>
      <c r="S422" s="2" t="n">
        <v>12985</v>
      </c>
      <c r="T422" s="2" t="n">
        <v>21225</v>
      </c>
      <c r="U422" s="2" t="n">
        <v>18825</v>
      </c>
      <c r="V422" s="2" t="n">
        <v>19330</v>
      </c>
      <c r="W422" s="2" t="n">
        <v>19930</v>
      </c>
      <c r="X422" s="2" t="n">
        <v>13080</v>
      </c>
      <c r="Y422" s="2" t="n">
        <v>3490</v>
      </c>
      <c r="AA422" s="2" t="n">
        <v>206.64</v>
      </c>
      <c r="AB422" s="2" t="n">
        <v>28.05</v>
      </c>
      <c r="AC422" s="2" t="n">
        <v>68.59999999999999</v>
      </c>
      <c r="AD422" s="2" t="n">
        <v>308.55</v>
      </c>
      <c r="AE422" s="2" t="n">
        <v>199.93</v>
      </c>
      <c r="AF422" s="2" t="n">
        <v>90611.7</v>
      </c>
      <c r="AG422" s="2" t="n">
        <v>2241.65</v>
      </c>
    </row>
    <row r="423" ht="16" customHeight="1">
      <c r="A423" s="2" t="inlineStr">
        <is>
          <t>03/04/2025</t>
        </is>
      </c>
      <c r="B423" s="2" t="n">
        <v>109665</v>
      </c>
      <c r="C423" s="2" t="n">
        <v>1063965</v>
      </c>
      <c r="D423" s="2" t="n">
        <v>1038160</v>
      </c>
      <c r="E423" s="2" t="n">
        <v>100.37</v>
      </c>
      <c r="F423" s="2" t="n">
        <v>92.55</v>
      </c>
      <c r="G423" s="2" t="n"/>
      <c r="H423" s="2" t="n"/>
      <c r="I423" s="2" t="n"/>
      <c r="J423" s="2" t="n">
        <v>1496</v>
      </c>
      <c r="K423" s="2" t="n">
        <v>1453.15</v>
      </c>
      <c r="L423" s="2" t="n">
        <v>20225</v>
      </c>
      <c r="M423" s="2" t="n"/>
      <c r="N423" s="2" t="n">
        <v>10630</v>
      </c>
      <c r="O423" s="2" t="n"/>
      <c r="P423" s="2" t="n">
        <v>57.82</v>
      </c>
      <c r="Q423" s="2" t="n">
        <v>49.5</v>
      </c>
      <c r="R423" s="2" t="n">
        <v>13320</v>
      </c>
      <c r="S423" s="2" t="n">
        <v>12875</v>
      </c>
      <c r="T423" s="2" t="n">
        <v>21530</v>
      </c>
      <c r="U423" s="2" t="n">
        <v>18650</v>
      </c>
      <c r="V423" s="2" t="n">
        <v>19610</v>
      </c>
      <c r="W423" s="2" t="n">
        <v>20050</v>
      </c>
      <c r="X423" s="2" t="n">
        <v>13170</v>
      </c>
      <c r="Y423" s="2" t="n">
        <v>3435</v>
      </c>
      <c r="AA423" s="2" t="n">
        <v>204.02</v>
      </c>
      <c r="AB423" s="2" t="n">
        <v>27.92</v>
      </c>
      <c r="AC423" s="2" t="n">
        <v>67.87</v>
      </c>
      <c r="AD423" s="2" t="n">
        <v>275.15</v>
      </c>
      <c r="AE423" s="2" t="n">
        <v>198.15</v>
      </c>
      <c r="AF423" s="2" t="n">
        <v>87266.3</v>
      </c>
      <c r="AG423" s="2" t="n">
        <v>2170.29</v>
      </c>
    </row>
    <row r="424" ht="16" customHeight="1">
      <c r="A424" s="2" t="inlineStr">
        <is>
          <t>03/03/2025</t>
        </is>
      </c>
      <c r="B424" s="2" t="n"/>
      <c r="C424" s="2" t="n"/>
      <c r="D424" s="2" t="n"/>
      <c r="E424" s="2" t="n">
        <v>100.36</v>
      </c>
      <c r="F424" s="2" t="n">
        <v>90.23999999999999</v>
      </c>
      <c r="G424" s="2" t="n"/>
      <c r="H424" s="2" t="n"/>
      <c r="I424" s="2" t="n"/>
      <c r="J424" s="2" t="n">
        <v>1510</v>
      </c>
      <c r="K424" s="2" t="n">
        <v>1457.94</v>
      </c>
      <c r="L424" s="2" t="n"/>
      <c r="M424" s="2" t="n"/>
      <c r="N424" s="2" t="n"/>
      <c r="O424" s="2" t="n"/>
      <c r="P424" s="2" t="n">
        <v>58.43</v>
      </c>
      <c r="Q424" s="2" t="n">
        <v>49.51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AA424" s="2" t="n">
        <v>204.75</v>
      </c>
      <c r="AB424" s="2" t="n">
        <v>28.4</v>
      </c>
      <c r="AC424" s="2" t="n">
        <v>68.7</v>
      </c>
      <c r="AD424" s="2" t="n">
        <v>250.92</v>
      </c>
      <c r="AE424" s="2" t="n">
        <v>201.22</v>
      </c>
      <c r="AF424" s="2" t="n">
        <v>86209.7</v>
      </c>
      <c r="AG424" s="2" t="n">
        <v>2149.11</v>
      </c>
    </row>
    <row r="425" ht="16" customHeight="1">
      <c r="A425" s="2" t="inlineStr">
        <is>
          <t>03/02/2025</t>
        </is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>
        <v>1510</v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AA425" s="2" t="n"/>
      <c r="AB425" s="2" t="n"/>
      <c r="AC425" s="2" t="n"/>
      <c r="AD425" s="2" t="n"/>
      <c r="AE425" s="2" t="n"/>
      <c r="AF425" s="2" t="n">
        <v>94265.10000000001</v>
      </c>
      <c r="AG425" s="2" t="n">
        <v>2518.17</v>
      </c>
    </row>
    <row r="426" ht="16" customHeight="1">
      <c r="A426" s="2" t="inlineStr">
        <is>
          <t>03/01/2025</t>
        </is>
      </c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>
        <v>1490</v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AA426" s="2" t="n"/>
      <c r="AB426" s="2" t="n"/>
      <c r="AC426" s="2" t="n"/>
      <c r="AD426" s="2" t="n"/>
      <c r="AE426" s="2" t="n"/>
      <c r="AF426" s="2" t="n">
        <v>86071.60000000001</v>
      </c>
      <c r="AG426" s="2" t="n">
        <v>2217.53</v>
      </c>
    </row>
    <row r="427" ht="16" customHeight="1">
      <c r="A427" s="2" t="inlineStr">
        <is>
          <t>02/28/2025</t>
        </is>
      </c>
      <c r="B427" s="2" t="n">
        <v>109660</v>
      </c>
      <c r="C427" s="2" t="n">
        <v>1063875</v>
      </c>
      <c r="D427" s="2" t="n">
        <v>1038075</v>
      </c>
      <c r="E427" s="2" t="n">
        <v>100.65</v>
      </c>
      <c r="F427" s="2" t="n">
        <v>92.40000000000001</v>
      </c>
      <c r="G427" s="2" t="n"/>
      <c r="H427" s="2" t="n"/>
      <c r="I427" s="2" t="n"/>
      <c r="J427" s="2" t="n">
        <v>1476</v>
      </c>
      <c r="K427" s="2" t="n">
        <v>1461.28</v>
      </c>
      <c r="L427" s="2" t="n">
        <v>19815</v>
      </c>
      <c r="M427" s="2" t="n"/>
      <c r="N427" s="2" t="n">
        <v>10580</v>
      </c>
      <c r="O427" s="2" t="n"/>
      <c r="P427" s="2" t="n">
        <v>58.32</v>
      </c>
      <c r="Q427" s="2" t="n">
        <v>49.45</v>
      </c>
      <c r="R427" s="2" t="n">
        <v>13130</v>
      </c>
      <c r="S427" s="2" t="n">
        <v>12930</v>
      </c>
      <c r="T427" s="2" t="n">
        <v>21580</v>
      </c>
      <c r="U427" s="2" t="n">
        <v>18685</v>
      </c>
      <c r="V427" s="2" t="n">
        <v>19640</v>
      </c>
      <c r="W427" s="2" t="n">
        <v>20125</v>
      </c>
      <c r="X427" s="2" t="n">
        <v>13150</v>
      </c>
      <c r="Y427" s="2" t="n">
        <v>3495</v>
      </c>
      <c r="AA427" s="2" t="n">
        <v>209.26</v>
      </c>
      <c r="AB427" s="2" t="n">
        <v>28.54</v>
      </c>
      <c r="AC427" s="2" t="n">
        <v>69.89</v>
      </c>
      <c r="AD427" s="2" t="n">
        <v>255.43</v>
      </c>
      <c r="AE427" s="2" t="n">
        <v>203.13</v>
      </c>
      <c r="AF427" s="2" t="n">
        <v>84381.2</v>
      </c>
      <c r="AG427" s="2" t="n">
        <v>2236.41</v>
      </c>
    </row>
    <row r="428" ht="16" customHeight="1">
      <c r="A428" s="2" t="inlineStr">
        <is>
          <t>02/27/2025</t>
        </is>
      </c>
      <c r="B428" s="2" t="n">
        <v>109620</v>
      </c>
      <c r="C428" s="2" t="n">
        <v>1063795</v>
      </c>
      <c r="D428" s="2" t="n">
        <v>1037985</v>
      </c>
      <c r="E428" s="2" t="n">
        <v>100.63</v>
      </c>
      <c r="F428" s="2" t="n">
        <v>91.59</v>
      </c>
      <c r="G428" s="2" t="n"/>
      <c r="H428" s="2" t="n"/>
      <c r="I428" s="2" t="n"/>
      <c r="J428" s="2" t="n">
        <v>1467</v>
      </c>
      <c r="K428" s="2" t="n">
        <v>1450.48</v>
      </c>
      <c r="L428" s="2" t="n">
        <v>19620</v>
      </c>
      <c r="M428" s="2" t="n"/>
      <c r="N428" s="2" t="n">
        <v>10420</v>
      </c>
      <c r="O428" s="2" t="n"/>
      <c r="P428" s="2" t="n">
        <v>57.68</v>
      </c>
      <c r="Q428" s="2" t="n">
        <v>49.31</v>
      </c>
      <c r="R428" s="2" t="n">
        <v>13035</v>
      </c>
      <c r="S428" s="2" t="n">
        <v>13495</v>
      </c>
      <c r="T428" s="2" t="n">
        <v>21685</v>
      </c>
      <c r="U428" s="2" t="n">
        <v>19335</v>
      </c>
      <c r="V428" s="2" t="n">
        <v>19745</v>
      </c>
      <c r="W428" s="2" t="n">
        <v>20470</v>
      </c>
      <c r="X428" s="2" t="n">
        <v>13060</v>
      </c>
      <c r="Y428" s="2" t="n">
        <v>3565</v>
      </c>
      <c r="AA428" s="2" t="n">
        <v>206.05</v>
      </c>
      <c r="AB428" s="2" t="n">
        <v>28.17</v>
      </c>
      <c r="AC428" s="2" t="n">
        <v>68.83</v>
      </c>
      <c r="AD428" s="2" t="n">
        <v>240.05</v>
      </c>
      <c r="AE428" s="2" t="n">
        <v>200.35</v>
      </c>
      <c r="AF428" s="2" t="n">
        <v>84714.60000000001</v>
      </c>
      <c r="AG428" s="2" t="n">
        <v>2307.73</v>
      </c>
    </row>
    <row r="429" ht="16" customHeight="1">
      <c r="A429" s="2" t="inlineStr">
        <is>
          <t>02/26/2025</t>
        </is>
      </c>
      <c r="B429" s="2" t="n">
        <v>109610</v>
      </c>
      <c r="C429" s="2" t="n">
        <v>1063485</v>
      </c>
      <c r="D429" s="2" t="n">
        <v>1037660</v>
      </c>
      <c r="E429" s="2" t="n">
        <v>100.6</v>
      </c>
      <c r="F429" s="2" t="n">
        <v>93.13</v>
      </c>
      <c r="G429" s="2" t="n"/>
      <c r="H429" s="2" t="n"/>
      <c r="I429" s="2" t="n"/>
      <c r="J429" s="2" t="n">
        <v>1458</v>
      </c>
      <c r="K429" s="2" t="n">
        <v>1433.2</v>
      </c>
      <c r="L429" s="2" t="n">
        <v>19935</v>
      </c>
      <c r="M429" s="2" t="n"/>
      <c r="N429" s="2" t="n">
        <v>10290</v>
      </c>
      <c r="O429" s="2" t="n"/>
      <c r="P429" s="2" t="n">
        <v>58.02</v>
      </c>
      <c r="Q429" s="2" t="n">
        <v>49.27</v>
      </c>
      <c r="R429" s="2" t="n">
        <v>13195</v>
      </c>
      <c r="S429" s="2" t="n">
        <v>13410</v>
      </c>
      <c r="T429" s="2" t="n">
        <v>21515</v>
      </c>
      <c r="U429" s="2" t="n">
        <v>19415</v>
      </c>
      <c r="V429" s="2" t="n">
        <v>19590</v>
      </c>
      <c r="W429" s="2" t="n">
        <v>20310</v>
      </c>
      <c r="X429" s="2" t="n">
        <v>12965</v>
      </c>
      <c r="Y429" s="2" t="n">
        <v>3630</v>
      </c>
      <c r="AA429" s="2" t="n">
        <v>211.88</v>
      </c>
      <c r="AB429" s="2" t="n">
        <v>28.15</v>
      </c>
      <c r="AC429" s="2" t="n">
        <v>69.92</v>
      </c>
      <c r="AD429" s="2" t="n">
        <v>263.27</v>
      </c>
      <c r="AE429" s="2" t="n">
        <v>201.58</v>
      </c>
      <c r="AF429" s="2" t="n">
        <v>84212.7</v>
      </c>
      <c r="AG429" s="2" t="n">
        <v>2337.98</v>
      </c>
    </row>
    <row r="430" ht="16" customHeight="1">
      <c r="A430" s="2" t="inlineStr">
        <is>
          <t>02/25/2025</t>
        </is>
      </c>
      <c r="B430" s="2" t="n">
        <v>109600</v>
      </c>
      <c r="C430" s="2" t="n">
        <v>1063395</v>
      </c>
      <c r="D430" s="2" t="n">
        <v>1037580</v>
      </c>
      <c r="E430" s="2" t="n">
        <v>100.6</v>
      </c>
      <c r="F430" s="2" t="n">
        <v>90.75</v>
      </c>
      <c r="G430" s="2" t="n"/>
      <c r="H430" s="2" t="n"/>
      <c r="I430" s="2" t="n"/>
      <c r="J430" s="2" t="n">
        <v>1461</v>
      </c>
      <c r="K430" s="2" t="n">
        <v>1433</v>
      </c>
      <c r="L430" s="2" t="n">
        <v>20625</v>
      </c>
      <c r="M430" s="2" t="n"/>
      <c r="N430" s="2" t="n">
        <v>10175</v>
      </c>
      <c r="O430" s="2" t="n"/>
      <c r="P430" s="2" t="n">
        <v>57.7</v>
      </c>
      <c r="Q430" s="2" t="n">
        <v>49.24</v>
      </c>
      <c r="R430" s="2" t="n">
        <v>13075</v>
      </c>
      <c r="S430" s="2" t="n">
        <v>13395</v>
      </c>
      <c r="T430" s="2" t="n">
        <v>21545</v>
      </c>
      <c r="U430" s="2" t="n">
        <v>19300</v>
      </c>
      <c r="V430" s="2" t="n">
        <v>19605</v>
      </c>
      <c r="W430" s="2" t="n">
        <v>20425</v>
      </c>
      <c r="X430" s="2" t="n">
        <v>12940</v>
      </c>
      <c r="Y430" s="2" t="n">
        <v>3555</v>
      </c>
      <c r="AA430" s="2" t="n">
        <v>211.37</v>
      </c>
      <c r="AB430" s="2" t="n">
        <v>28.45</v>
      </c>
      <c r="AC430" s="2" t="n">
        <v>69.91</v>
      </c>
      <c r="AD430" s="2" t="n">
        <v>250.51</v>
      </c>
      <c r="AE430" s="2" t="n">
        <v>202.14</v>
      </c>
      <c r="AF430" s="2" t="n">
        <v>88686</v>
      </c>
      <c r="AG430" s="2" t="n">
        <v>2496.06</v>
      </c>
    </row>
    <row r="431" ht="16" customHeight="1">
      <c r="A431" s="2" t="inlineStr">
        <is>
          <t>02/24/2025</t>
        </is>
      </c>
      <c r="B431" s="2" t="n">
        <v>109595</v>
      </c>
      <c r="C431" s="2" t="n">
        <v>1063315</v>
      </c>
      <c r="D431" s="2" t="n">
        <v>1037500</v>
      </c>
      <c r="E431" s="2" t="n">
        <v>100.59</v>
      </c>
      <c r="F431" s="2" t="n">
        <v>93.09999999999999</v>
      </c>
      <c r="G431" s="2" t="n"/>
      <c r="H431" s="2" t="n"/>
      <c r="I431" s="2" t="n"/>
      <c r="J431" s="2" t="n">
        <v>1446</v>
      </c>
      <c r="K431" s="2" t="n">
        <v>1428.64</v>
      </c>
      <c r="L431" s="2" t="n">
        <v>20655</v>
      </c>
      <c r="M431" s="2" t="n"/>
      <c r="N431" s="2" t="n">
        <v>10070</v>
      </c>
      <c r="O431" s="2" t="n"/>
      <c r="P431" s="2" t="n">
        <v>56.83</v>
      </c>
      <c r="Q431" s="2" t="n">
        <v>49.18</v>
      </c>
      <c r="R431" s="2" t="n">
        <v>13025</v>
      </c>
      <c r="S431" s="2" t="n">
        <v>13470</v>
      </c>
      <c r="T431" s="2" t="n">
        <v>21685</v>
      </c>
      <c r="U431" s="2" t="n">
        <v>19405</v>
      </c>
      <c r="V431" s="2" t="n">
        <v>19740</v>
      </c>
      <c r="W431" s="2" t="n">
        <v>20720</v>
      </c>
      <c r="X431" s="2" t="n">
        <v>12945</v>
      </c>
      <c r="Y431" s="2" t="n">
        <v>3585</v>
      </c>
      <c r="AA431" s="2" t="n">
        <v>214.04</v>
      </c>
      <c r="AB431" s="2" t="n">
        <v>28.26</v>
      </c>
      <c r="AC431" s="2" t="n">
        <v>70.26000000000001</v>
      </c>
      <c r="AD431" s="2" t="n">
        <v>282.76</v>
      </c>
      <c r="AE431" s="2" t="n">
        <v>201.51</v>
      </c>
      <c r="AF431" s="2" t="n">
        <v>91508.5</v>
      </c>
      <c r="AG431" s="2" t="n">
        <v>2510.94</v>
      </c>
    </row>
    <row r="432" ht="16" customHeight="1">
      <c r="A432" s="2" t="inlineStr">
        <is>
          <t>02/23/2025</t>
        </is>
      </c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>
        <v>1468</v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AA432" s="2" t="n"/>
      <c r="AB432" s="2" t="n"/>
      <c r="AC432" s="2" t="n"/>
      <c r="AD432" s="2" t="n"/>
      <c r="AE432" s="2" t="n"/>
      <c r="AF432" s="2" t="n">
        <v>96258.8</v>
      </c>
      <c r="AG432" s="2" t="n">
        <v>2819.69</v>
      </c>
    </row>
    <row r="433" ht="16" customHeight="1">
      <c r="A433" s="2" t="inlineStr">
        <is>
          <t>02/22/2025</t>
        </is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>
        <v>1474</v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AA433" s="2" t="n"/>
      <c r="AB433" s="2" t="n"/>
      <c r="AC433" s="2" t="n"/>
      <c r="AD433" s="2" t="n"/>
      <c r="AE433" s="2" t="n"/>
      <c r="AF433" s="2" t="n">
        <v>96556.10000000001</v>
      </c>
      <c r="AG433" s="2" t="n">
        <v>2763.23</v>
      </c>
    </row>
    <row r="434" ht="16" customHeight="1">
      <c r="A434" s="2" t="inlineStr">
        <is>
          <t>02/21/2025</t>
        </is>
      </c>
      <c r="B434" s="2" t="n">
        <v>109585</v>
      </c>
      <c r="C434" s="2" t="n">
        <v>1063240</v>
      </c>
      <c r="D434" s="2" t="n">
        <v>1037415</v>
      </c>
      <c r="E434" s="2" t="n">
        <v>100.58</v>
      </c>
      <c r="F434" s="2" t="n">
        <v>93.01000000000001</v>
      </c>
      <c r="G434" s="2" t="n"/>
      <c r="H434" s="2" t="n"/>
      <c r="I434" s="2" t="n"/>
      <c r="J434" s="2" t="n">
        <v>1484</v>
      </c>
      <c r="K434" s="2" t="n">
        <v>1433</v>
      </c>
      <c r="L434" s="2" t="n">
        <v>20785</v>
      </c>
      <c r="M434" s="2" t="n"/>
      <c r="N434" s="2" t="n">
        <v>10025</v>
      </c>
      <c r="O434" s="2" t="n"/>
      <c r="P434" s="2" t="n">
        <v>56.68</v>
      </c>
      <c r="Q434" s="2" t="n">
        <v>49.13</v>
      </c>
      <c r="R434" s="2" t="n">
        <v>13090</v>
      </c>
      <c r="S434" s="2" t="n">
        <v>13455</v>
      </c>
      <c r="T434" s="2" t="n">
        <v>22035</v>
      </c>
      <c r="U434" s="2" t="n">
        <v>19540</v>
      </c>
      <c r="V434" s="2" t="n">
        <v>20055</v>
      </c>
      <c r="W434" s="2" t="n">
        <v>21145</v>
      </c>
      <c r="X434" s="2" t="n">
        <v>13050</v>
      </c>
      <c r="Y434" s="2" t="n">
        <v>3580</v>
      </c>
      <c r="AA434" s="2" t="n">
        <v>216.61</v>
      </c>
      <c r="AB434" s="2" t="n">
        <v>28.21</v>
      </c>
      <c r="AC434" s="2" t="n">
        <v>70.59</v>
      </c>
      <c r="AD434" s="2" t="n">
        <v>299.69</v>
      </c>
      <c r="AE434" s="2" t="n">
        <v>201.98</v>
      </c>
      <c r="AF434" s="2" t="n">
        <v>96155.60000000001</v>
      </c>
      <c r="AG434" s="2" t="n">
        <v>2662.35</v>
      </c>
    </row>
    <row r="435" ht="16" customHeight="1">
      <c r="A435" s="2" t="inlineStr">
        <is>
          <t>02/20/2025</t>
        </is>
      </c>
      <c r="B435" s="2" t="n">
        <v>109555</v>
      </c>
      <c r="C435" s="2" t="n">
        <v>1063150</v>
      </c>
      <c r="D435" s="2" t="n">
        <v>1037325</v>
      </c>
      <c r="E435" s="2" t="n">
        <v>100.54</v>
      </c>
      <c r="F435" s="2" t="n">
        <v>97.75</v>
      </c>
      <c r="G435" s="2" t="n"/>
      <c r="H435" s="2" t="n"/>
      <c r="I435" s="2" t="n"/>
      <c r="J435" s="2" t="n">
        <v>1482</v>
      </c>
      <c r="K435" s="2" t="n">
        <v>1430.7</v>
      </c>
      <c r="L435" s="2" t="n">
        <v>20730</v>
      </c>
      <c r="M435" s="2" t="n"/>
      <c r="N435" s="2" t="n">
        <v>10045</v>
      </c>
      <c r="O435" s="2" t="n"/>
      <c r="P435" s="2" t="n">
        <v>56.05</v>
      </c>
      <c r="Q435" s="2" t="n">
        <v>49.1</v>
      </c>
      <c r="R435" s="2" t="n">
        <v>12975</v>
      </c>
      <c r="S435" s="2" t="n">
        <v>13280</v>
      </c>
      <c r="T435" s="2" t="n">
        <v>22125</v>
      </c>
      <c r="U435" s="2" t="n">
        <v>19515</v>
      </c>
      <c r="V435" s="2" t="n">
        <v>20145</v>
      </c>
      <c r="W435" s="2" t="n">
        <v>21210</v>
      </c>
      <c r="X435" s="2" t="n">
        <v>13100</v>
      </c>
      <c r="Y435" s="2" t="n">
        <v>3585</v>
      </c>
      <c r="AA435" s="2" t="n">
        <v>221.18</v>
      </c>
      <c r="AB435" s="2" t="n">
        <v>28.32</v>
      </c>
      <c r="AC435" s="2" t="n">
        <v>71.8</v>
      </c>
      <c r="AD435" s="2" t="n">
        <v>323.92</v>
      </c>
      <c r="AE435" s="2" t="n">
        <v>204.17</v>
      </c>
      <c r="AF435" s="2" t="n">
        <v>98310.3</v>
      </c>
      <c r="AG435" s="2" t="n">
        <v>2738.03</v>
      </c>
    </row>
    <row r="436" ht="16" customHeight="1">
      <c r="A436" s="2" t="inlineStr">
        <is>
          <t>02/19/2025</t>
        </is>
      </c>
      <c r="B436" s="2" t="n">
        <v>109550</v>
      </c>
      <c r="C436" s="2" t="n">
        <v>1062895</v>
      </c>
      <c r="D436" s="2" t="n">
        <v>1037075</v>
      </c>
      <c r="E436" s="2" t="n">
        <v>100.52</v>
      </c>
      <c r="F436" s="2" t="n">
        <v>95.78</v>
      </c>
      <c r="G436" s="2" t="n"/>
      <c r="H436" s="2" t="n"/>
      <c r="I436" s="2" t="n"/>
      <c r="J436" s="2" t="n">
        <v>1494</v>
      </c>
      <c r="K436" s="2" t="n">
        <v>1439</v>
      </c>
      <c r="L436" s="2" t="n">
        <v>21025</v>
      </c>
      <c r="M436" s="2" t="n"/>
      <c r="N436" s="2" t="n">
        <v>10015</v>
      </c>
      <c r="O436" s="2" t="n"/>
      <c r="P436" s="2" t="n">
        <v>55.87</v>
      </c>
      <c r="Q436" s="2" t="n">
        <v>49.07</v>
      </c>
      <c r="R436" s="2" t="n">
        <v>13040</v>
      </c>
      <c r="S436" s="2" t="n">
        <v>13470</v>
      </c>
      <c r="T436" s="2" t="n">
        <v>22170</v>
      </c>
      <c r="U436" s="2" t="n">
        <v>19680</v>
      </c>
      <c r="V436" s="2" t="n">
        <v>20175</v>
      </c>
      <c r="W436" s="2" t="n">
        <v>21330</v>
      </c>
      <c r="X436" s="2" t="n">
        <v>13095</v>
      </c>
      <c r="Y436" s="2" t="n">
        <v>3590</v>
      </c>
      <c r="AA436" s="2" t="n">
        <v>222.1</v>
      </c>
      <c r="AB436" s="2" t="n">
        <v>28.18</v>
      </c>
      <c r="AC436" s="2" t="n">
        <v>72.09999999999999</v>
      </c>
      <c r="AD436" s="2" t="n">
        <v>318.67</v>
      </c>
      <c r="AE436" s="2" t="n">
        <v>205.23</v>
      </c>
      <c r="AF436" s="2" t="n">
        <v>96644.8</v>
      </c>
      <c r="AG436" s="2" t="n">
        <v>2716.16</v>
      </c>
    </row>
    <row r="437" ht="16" customHeight="1">
      <c r="A437" s="2" t="inlineStr">
        <is>
          <t>02/18/2025</t>
        </is>
      </c>
      <c r="B437" s="2" t="n">
        <v>109540</v>
      </c>
      <c r="C437" s="2" t="n">
        <v>1062810</v>
      </c>
      <c r="D437" s="2" t="n">
        <v>1036990</v>
      </c>
      <c r="E437" s="2" t="n">
        <v>100.52</v>
      </c>
      <c r="F437" s="2" t="n">
        <v>98.59999999999999</v>
      </c>
      <c r="G437" s="2" t="n"/>
      <c r="H437" s="2" t="n"/>
      <c r="I437" s="2" t="n"/>
      <c r="J437" s="2" t="n">
        <v>1504</v>
      </c>
      <c r="K437" s="2" t="n">
        <v>1440.71</v>
      </c>
      <c r="L437" s="2" t="n">
        <v>21600</v>
      </c>
      <c r="M437" s="2" t="n"/>
      <c r="N437" s="2" t="n">
        <v>10145</v>
      </c>
      <c r="O437" s="2" t="n"/>
      <c r="P437" s="2" t="n">
        <v>55.82</v>
      </c>
      <c r="Q437" s="2" t="n">
        <v>49</v>
      </c>
      <c r="R437" s="2" t="n">
        <v>12995</v>
      </c>
      <c r="S437" s="2" t="n">
        <v>13360</v>
      </c>
      <c r="T437" s="2" t="n">
        <v>22230</v>
      </c>
      <c r="U437" s="2" t="n">
        <v>19285</v>
      </c>
      <c r="V437" s="2" t="n">
        <v>20220</v>
      </c>
      <c r="W437" s="2" t="n">
        <v>21395</v>
      </c>
      <c r="X437" s="2" t="n">
        <v>13140</v>
      </c>
      <c r="Y437" s="2" t="n">
        <v>3555</v>
      </c>
      <c r="AA437" s="2" t="n">
        <v>222.09</v>
      </c>
      <c r="AB437" s="2" t="n">
        <v>27.99</v>
      </c>
      <c r="AC437" s="2" t="n">
        <v>71.93000000000001</v>
      </c>
      <c r="AD437" s="2" t="n">
        <v>333.97</v>
      </c>
      <c r="AE437" s="2" t="n">
        <v>204.3</v>
      </c>
      <c r="AF437" s="2" t="n">
        <v>95638</v>
      </c>
      <c r="AG437" s="2" t="n">
        <v>2671.36</v>
      </c>
    </row>
    <row r="438" ht="16" customHeight="1">
      <c r="A438" s="2" t="inlineStr">
        <is>
          <t>02/17/2025</t>
        </is>
      </c>
      <c r="B438" s="2" t="n">
        <v>109535</v>
      </c>
      <c r="C438" s="2" t="n">
        <v>1062730</v>
      </c>
      <c r="D438" s="2" t="n">
        <v>1036905</v>
      </c>
      <c r="E438" s="2" t="n"/>
      <c r="F438" s="2" t="n"/>
      <c r="G438" s="2" t="n"/>
      <c r="H438" s="2" t="n"/>
      <c r="I438" s="2" t="n"/>
      <c r="J438" s="2" t="n">
        <v>1506</v>
      </c>
      <c r="K438" s="2" t="n">
        <v>1441.28</v>
      </c>
      <c r="L438" s="2" t="n">
        <v>22550</v>
      </c>
      <c r="M438" s="2" t="n"/>
      <c r="N438" s="2" t="n">
        <v>10130</v>
      </c>
      <c r="O438" s="2" t="n"/>
      <c r="P438" s="2" t="n"/>
      <c r="Q438" s="2" t="n"/>
      <c r="R438" s="2" t="n">
        <v>13030</v>
      </c>
      <c r="S438" s="2" t="n">
        <v>13305</v>
      </c>
      <c r="T438" s="2" t="n">
        <v>22175</v>
      </c>
      <c r="U438" s="2" t="n">
        <v>19165</v>
      </c>
      <c r="V438" s="2" t="n">
        <v>20165</v>
      </c>
      <c r="W438" s="2" t="n">
        <v>21375</v>
      </c>
      <c r="X438" s="2" t="n">
        <v>13120</v>
      </c>
      <c r="Y438" s="2" t="n">
        <v>3560</v>
      </c>
      <c r="AA438" s="2" t="n"/>
      <c r="AB438" s="2" t="n"/>
      <c r="AC438" s="2" t="n"/>
      <c r="AD438" s="2" t="n"/>
      <c r="AE438" s="2" t="n"/>
      <c r="AF438" s="2" t="n">
        <v>95781.3</v>
      </c>
      <c r="AG438" s="2" t="n">
        <v>2743.47</v>
      </c>
    </row>
    <row r="439" ht="16" customHeight="1">
      <c r="A439" s="2" t="inlineStr">
        <is>
          <t>02/16/2025</t>
        </is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>
        <v>1513</v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AA439" s="2" t="n"/>
      <c r="AB439" s="2" t="n"/>
      <c r="AC439" s="2" t="n"/>
      <c r="AD439" s="2" t="n"/>
      <c r="AE439" s="2" t="n"/>
      <c r="AF439" s="2" t="n">
        <v>96132.10000000001</v>
      </c>
      <c r="AG439" s="2" t="n">
        <v>2662.8</v>
      </c>
    </row>
    <row r="440" ht="16" customHeight="1">
      <c r="A440" s="2" t="inlineStr">
        <is>
          <t>02/15/2025</t>
        </is>
      </c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>
        <v>1511</v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AA440" s="2" t="n"/>
      <c r="AB440" s="2" t="n"/>
      <c r="AC440" s="2" t="n"/>
      <c r="AD440" s="2" t="n"/>
      <c r="AE440" s="2" t="n"/>
      <c r="AF440" s="2" t="n">
        <v>97573.39999999999</v>
      </c>
      <c r="AG440" s="2" t="n">
        <v>2693.4</v>
      </c>
    </row>
    <row r="441" ht="16" customHeight="1">
      <c r="A441" s="2" t="inlineStr">
        <is>
          <t>02/14/2025</t>
        </is>
      </c>
      <c r="B441" s="2" t="n">
        <v>109525</v>
      </c>
      <c r="C441" s="2" t="n">
        <v>1062635</v>
      </c>
      <c r="D441" s="2" t="n">
        <v>1036825</v>
      </c>
      <c r="E441" s="2" t="n">
        <v>100.5</v>
      </c>
      <c r="F441" s="2" t="n">
        <v>94.04000000000001</v>
      </c>
      <c r="G441" s="2" t="n"/>
      <c r="H441" s="2" t="n"/>
      <c r="I441" s="2" t="n"/>
      <c r="J441" s="2" t="n">
        <v>1504</v>
      </c>
      <c r="K441" s="2" t="n">
        <v>1439.43</v>
      </c>
      <c r="L441" s="2" t="n">
        <v>23370</v>
      </c>
      <c r="M441" s="2" t="n"/>
      <c r="N441" s="2" t="n">
        <v>10105</v>
      </c>
      <c r="O441" s="2" t="n"/>
      <c r="P441" s="2" t="n">
        <v>56.42</v>
      </c>
      <c r="Q441" s="2" t="n">
        <v>49.03</v>
      </c>
      <c r="R441" s="2" t="n">
        <v>13045</v>
      </c>
      <c r="S441" s="2" t="n">
        <v>13125</v>
      </c>
      <c r="T441" s="2" t="n">
        <v>22180</v>
      </c>
      <c r="U441" s="2" t="n">
        <v>19020</v>
      </c>
      <c r="V441" s="2" t="n">
        <v>20185</v>
      </c>
      <c r="W441" s="2" t="n">
        <v>21255</v>
      </c>
      <c r="X441" s="2" t="n">
        <v>13130</v>
      </c>
      <c r="Y441" s="2" t="n">
        <v>3545</v>
      </c>
      <c r="AA441" s="2" t="n">
        <v>221.56</v>
      </c>
      <c r="AB441" s="2" t="n">
        <v>27.79</v>
      </c>
      <c r="AC441" s="2" t="n">
        <v>71.72</v>
      </c>
      <c r="AD441" s="2" t="n">
        <v>337.73</v>
      </c>
      <c r="AE441" s="2" t="n">
        <v>203.86</v>
      </c>
      <c r="AF441" s="2" t="n">
        <v>97504.60000000001</v>
      </c>
      <c r="AG441" s="2" t="n">
        <v>2725.51</v>
      </c>
    </row>
    <row r="442" ht="16" customHeight="1">
      <c r="A442" s="2" t="inlineStr">
        <is>
          <t>02/13/2025</t>
        </is>
      </c>
      <c r="B442" s="2" t="n">
        <v>109495</v>
      </c>
      <c r="C442" s="2" t="n">
        <v>1062550</v>
      </c>
      <c r="D442" s="2" t="n">
        <v>1036730</v>
      </c>
      <c r="E442" s="2" t="n">
        <v>100.46</v>
      </c>
      <c r="F442" s="2" t="n">
        <v>90.26000000000001</v>
      </c>
      <c r="G442" s="2" t="n"/>
      <c r="H442" s="2" t="n"/>
      <c r="I442" s="2" t="n"/>
      <c r="J442" s="2" t="n">
        <v>1509</v>
      </c>
      <c r="K442" s="2" t="n">
        <v>1439.33</v>
      </c>
      <c r="L442" s="2" t="n">
        <v>23100</v>
      </c>
      <c r="M442" s="2" t="n"/>
      <c r="N442" s="2" t="n">
        <v>10010</v>
      </c>
      <c r="O442" s="2" t="n"/>
      <c r="P442" s="2" t="n">
        <v>56.08</v>
      </c>
      <c r="Q442" s="2" t="n">
        <v>48.98</v>
      </c>
      <c r="R442" s="2" t="n">
        <v>12970</v>
      </c>
      <c r="S442" s="2" t="n">
        <v>12905</v>
      </c>
      <c r="T442" s="2" t="n">
        <v>22045</v>
      </c>
      <c r="U442" s="2" t="n">
        <v>18905</v>
      </c>
      <c r="V442" s="2" t="n">
        <v>20060</v>
      </c>
      <c r="W442" s="2" t="n">
        <v>21105</v>
      </c>
      <c r="X442" s="2" t="n">
        <v>13130</v>
      </c>
      <c r="Y442" s="2" t="n">
        <v>3465</v>
      </c>
      <c r="AA442" s="2" t="n">
        <v>220.61</v>
      </c>
      <c r="AB442" s="2" t="n">
        <v>27.85</v>
      </c>
      <c r="AC442" s="2" t="n">
        <v>71.73</v>
      </c>
      <c r="AD442" s="2" t="n">
        <v>324.92</v>
      </c>
      <c r="AE442" s="2" t="n">
        <v>204.64</v>
      </c>
      <c r="AF442" s="2" t="n">
        <v>96610.2</v>
      </c>
      <c r="AG442" s="2" t="n">
        <v>2675.3</v>
      </c>
    </row>
    <row r="443">
      <c r="A443" s="2" t="inlineStr">
        <is>
          <t>02/12/2025</t>
        </is>
      </c>
      <c r="B443" s="2" t="n">
        <v>109485</v>
      </c>
      <c r="C443" s="2" t="n">
        <v>1062280</v>
      </c>
      <c r="D443" s="2" t="n">
        <v>1036485</v>
      </c>
      <c r="E443" s="2" t="n">
        <v>100.44</v>
      </c>
      <c r="F443" s="2" t="n">
        <v>90</v>
      </c>
      <c r="G443" s="2" t="n"/>
      <c r="H443" s="2" t="n"/>
      <c r="I443" s="2" t="n"/>
      <c r="J443" s="2" t="n">
        <v>1512</v>
      </c>
      <c r="K443" s="2" t="n">
        <v>1450.74</v>
      </c>
      <c r="L443" s="2" t="n">
        <v>22605</v>
      </c>
      <c r="M443" s="2" t="n"/>
      <c r="N443" s="2" t="n">
        <v>10115</v>
      </c>
      <c r="O443" s="2" t="n"/>
      <c r="P443" s="2" t="n">
        <v>55.26</v>
      </c>
      <c r="Q443" s="2" t="n">
        <v>48.89</v>
      </c>
      <c r="R443" s="2" t="n">
        <v>12995</v>
      </c>
      <c r="S443" s="2" t="n">
        <v>12875</v>
      </c>
      <c r="T443" s="2" t="n">
        <v>22140</v>
      </c>
      <c r="U443" s="2" t="n">
        <v>18710</v>
      </c>
      <c r="V443" s="2" t="n">
        <v>20150</v>
      </c>
      <c r="W443" s="2" t="n">
        <v>21055</v>
      </c>
      <c r="X443" s="2" t="n">
        <v>13180</v>
      </c>
      <c r="Y443" s="2" t="n">
        <v>3430</v>
      </c>
      <c r="AA443" s="2" t="n">
        <v>217.54</v>
      </c>
      <c r="AB443" s="2" t="n">
        <v>27.65</v>
      </c>
      <c r="AC443" s="2" t="n">
        <v>70.98</v>
      </c>
      <c r="AD443" s="2" t="n">
        <v>326.82</v>
      </c>
      <c r="AE443" s="2" t="n">
        <v>203.27</v>
      </c>
      <c r="AF443" s="2" t="n">
        <v>97881.3</v>
      </c>
      <c r="AG443" s="2" t="n">
        <v>2735.91</v>
      </c>
    </row>
    <row r="444">
      <c r="A444" s="2" t="inlineStr">
        <is>
          <t>02/11/2025</t>
        </is>
      </c>
      <c r="B444" s="2" t="n">
        <v>109475</v>
      </c>
      <c r="C444" s="2" t="n">
        <v>1062195</v>
      </c>
      <c r="D444" s="2" t="n">
        <v>1036400</v>
      </c>
      <c r="E444" s="2" t="n">
        <v>100.43</v>
      </c>
      <c r="F444" s="2" t="n">
        <v>89.56999999999999</v>
      </c>
      <c r="G444" s="2" t="n"/>
      <c r="H444" s="2" t="n"/>
      <c r="I444" s="2" t="n"/>
      <c r="J444" s="2" t="n">
        <v>1526</v>
      </c>
      <c r="K444" s="2" t="n">
        <v>1450.86</v>
      </c>
      <c r="L444" s="2" t="n">
        <v>22795</v>
      </c>
      <c r="M444" s="2" t="n"/>
      <c r="N444" s="2" t="n">
        <v>10200</v>
      </c>
      <c r="O444" s="2" t="n"/>
      <c r="P444" s="2" t="n">
        <v>55.98</v>
      </c>
      <c r="Q444" s="2" t="n">
        <v>48.98</v>
      </c>
      <c r="R444" s="2" t="n">
        <v>12910</v>
      </c>
      <c r="S444" s="2" t="n">
        <v>12905</v>
      </c>
      <c r="T444" s="2" t="n">
        <v>22085</v>
      </c>
      <c r="U444" s="2" t="n">
        <v>18685</v>
      </c>
      <c r="V444" s="2" t="n">
        <v>20095</v>
      </c>
      <c r="W444" s="2" t="n">
        <v>21040</v>
      </c>
      <c r="X444" s="2" t="n">
        <v>13170</v>
      </c>
      <c r="Y444" s="2" t="n">
        <v>3475</v>
      </c>
      <c r="AA444" s="2" t="n">
        <v>217.4</v>
      </c>
      <c r="AB444" s="2" t="n">
        <v>27.87</v>
      </c>
      <c r="AC444" s="2" t="n">
        <v>71.2</v>
      </c>
      <c r="AD444" s="2" t="n">
        <v>319.46</v>
      </c>
      <c r="AE444" s="2" t="n">
        <v>204.19</v>
      </c>
      <c r="AF444" s="2" t="n">
        <v>95771.7</v>
      </c>
      <c r="AG444" s="2" t="n">
        <v>2603.11</v>
      </c>
    </row>
    <row r="445">
      <c r="A445" s="2" t="inlineStr">
        <is>
          <t>02/10/2025</t>
        </is>
      </c>
      <c r="B445" s="2" t="n">
        <v>109470</v>
      </c>
      <c r="C445" s="2" t="n">
        <v>1062110</v>
      </c>
      <c r="D445" s="2" t="n">
        <v>1036345</v>
      </c>
      <c r="E445" s="2" t="n">
        <v>100.43</v>
      </c>
      <c r="F445" s="2" t="n">
        <v>89.5</v>
      </c>
      <c r="G445" s="2" t="n"/>
      <c r="H445" s="2" t="n"/>
      <c r="I445" s="2" t="n"/>
      <c r="J445" s="2" t="n">
        <v>1517</v>
      </c>
      <c r="K445" s="2" t="n">
        <v>1450.55</v>
      </c>
      <c r="L445" s="2" t="n">
        <v>21810</v>
      </c>
      <c r="M445" s="2" t="n"/>
      <c r="N445" s="2" t="n">
        <v>10245</v>
      </c>
      <c r="O445" s="2" t="n"/>
      <c r="P445" s="2" t="n">
        <v>56.31</v>
      </c>
      <c r="Q445" s="2" t="n">
        <v>48.96</v>
      </c>
      <c r="R445" s="2" t="n">
        <v>13005</v>
      </c>
      <c r="S445" s="2" t="n">
        <v>12940</v>
      </c>
      <c r="T445" s="2" t="n">
        <v>22030</v>
      </c>
      <c r="U445" s="2" t="n">
        <v>18550</v>
      </c>
      <c r="V445" s="2" t="n">
        <v>20040</v>
      </c>
      <c r="W445" s="2" t="n">
        <v>20945</v>
      </c>
      <c r="X445" s="2" t="n">
        <v>13155</v>
      </c>
      <c r="Y445" s="2" t="n">
        <v>3470</v>
      </c>
      <c r="AA445" s="2" t="n">
        <v>217.86</v>
      </c>
      <c r="AB445" s="2" t="n">
        <v>27.68</v>
      </c>
      <c r="AC445" s="2" t="n">
        <v>71.15000000000001</v>
      </c>
      <c r="AD445" s="2" t="n">
        <v>334.62</v>
      </c>
      <c r="AE445" s="2" t="n">
        <v>203.15</v>
      </c>
      <c r="AF445" s="2" t="n">
        <v>97434.7</v>
      </c>
      <c r="AG445" s="2" t="n">
        <v>2661</v>
      </c>
    </row>
    <row r="446">
      <c r="A446" s="2" t="inlineStr">
        <is>
          <t>02/09/2025</t>
        </is>
      </c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>
        <v>1531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AA446" s="2" t="n"/>
      <c r="AB446" s="2" t="n"/>
      <c r="AC446" s="2" t="n"/>
      <c r="AD446" s="2" t="n"/>
      <c r="AE446" s="2" t="n"/>
      <c r="AF446" s="2" t="n">
        <v>96469.2</v>
      </c>
      <c r="AG446" s="2" t="n">
        <v>2628.27</v>
      </c>
    </row>
    <row r="447">
      <c r="A447" s="2" t="inlineStr">
        <is>
          <t>02/08/2025</t>
        </is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>
        <v>1542</v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AA447" s="2" t="n"/>
      <c r="AB447" s="2" t="n"/>
      <c r="AC447" s="2" t="n"/>
      <c r="AD447" s="2" t="n"/>
      <c r="AE447" s="2" t="n"/>
      <c r="AF447" s="2" t="n">
        <v>96447.89999999999</v>
      </c>
      <c r="AG447" s="2" t="n">
        <v>2631.56</v>
      </c>
    </row>
    <row r="448">
      <c r="A448" s="2" t="inlineStr">
        <is>
          <t>02/07/2025</t>
        </is>
      </c>
      <c r="B448" s="2" t="n">
        <v>109460</v>
      </c>
      <c r="C448" s="2" t="n">
        <v>1062020</v>
      </c>
      <c r="D448" s="2" t="n">
        <v>1036260</v>
      </c>
      <c r="E448" s="2" t="n">
        <v>100.41</v>
      </c>
      <c r="F448" s="2" t="n">
        <v>86.40000000000001</v>
      </c>
      <c r="G448" s="2" t="n"/>
      <c r="H448" s="2" t="n"/>
      <c r="I448" s="2" t="n"/>
      <c r="J448" s="2" t="n">
        <v>1549</v>
      </c>
      <c r="K448" s="2" t="n">
        <v>1453.44</v>
      </c>
      <c r="L448" s="2" t="n">
        <v>20765</v>
      </c>
      <c r="M448" s="2" t="n"/>
      <c r="N448" s="2" t="n">
        <v>10275</v>
      </c>
      <c r="O448" s="2" t="n"/>
      <c r="P448" s="2" t="n">
        <v>56.44</v>
      </c>
      <c r="Q448" s="2" t="n">
        <v>48.91</v>
      </c>
      <c r="R448" s="2" t="n">
        <v>13015</v>
      </c>
      <c r="S448" s="2" t="n">
        <v>12860</v>
      </c>
      <c r="T448" s="2" t="n">
        <v>22090</v>
      </c>
      <c r="U448" s="2" t="n">
        <v>18505</v>
      </c>
      <c r="V448" s="2" t="n">
        <v>20105</v>
      </c>
      <c r="W448" s="2" t="n">
        <v>21020</v>
      </c>
      <c r="X448" s="2" t="n">
        <v>13145</v>
      </c>
      <c r="Y448" s="2" t="n">
        <v>3420</v>
      </c>
      <c r="AA448" s="2" t="n">
        <v>215.35</v>
      </c>
      <c r="AB448" s="2" t="n">
        <v>27.56</v>
      </c>
      <c r="AC448" s="2" t="n">
        <v>70.68000000000001</v>
      </c>
      <c r="AD448" s="2" t="n">
        <v>327.56</v>
      </c>
      <c r="AE448" s="2" t="n">
        <v>201.83</v>
      </c>
      <c r="AF448" s="2" t="n">
        <v>96513.5</v>
      </c>
      <c r="AG448" s="2" t="n">
        <v>2622.81</v>
      </c>
    </row>
    <row r="449">
      <c r="A449" s="2" t="inlineStr">
        <is>
          <t>02/06/2025</t>
        </is>
      </c>
      <c r="B449" s="2" t="n">
        <v>109430</v>
      </c>
      <c r="C449" s="2" t="n">
        <v>1061925</v>
      </c>
      <c r="D449" s="2" t="n">
        <v>1036165</v>
      </c>
      <c r="E449" s="2" t="n">
        <v>100.38</v>
      </c>
      <c r="F449" s="2" t="n">
        <v>84.59999999999999</v>
      </c>
      <c r="G449" s="2" t="n"/>
      <c r="H449" s="2" t="n"/>
      <c r="I449" s="2" t="n"/>
      <c r="J449" s="2" t="n">
        <v>1567</v>
      </c>
      <c r="K449" s="2" t="n">
        <v>1445.55</v>
      </c>
      <c r="L449" s="2" t="n">
        <v>20880</v>
      </c>
      <c r="M449" s="2" t="n"/>
      <c r="N449" s="2" t="n">
        <v>10260</v>
      </c>
      <c r="O449" s="2" t="n"/>
      <c r="P449" s="2" t="n">
        <v>56.77</v>
      </c>
      <c r="Q449" s="2" t="n">
        <v>48.97</v>
      </c>
      <c r="R449" s="2" t="n">
        <v>12995</v>
      </c>
      <c r="S449" s="2" t="n">
        <v>12795</v>
      </c>
      <c r="T449" s="2" t="n">
        <v>22095</v>
      </c>
      <c r="U449" s="2" t="n">
        <v>18640</v>
      </c>
      <c r="V449" s="2" t="n">
        <v>20085</v>
      </c>
      <c r="W449" s="2" t="n">
        <v>21000</v>
      </c>
      <c r="X449" s="2" t="n">
        <v>13150</v>
      </c>
      <c r="Y449" s="2" t="n">
        <v>3480</v>
      </c>
      <c r="AA449" s="2" t="n">
        <v>218.04</v>
      </c>
      <c r="AB449" s="2" t="n">
        <v>27.75</v>
      </c>
      <c r="AC449" s="2" t="n">
        <v>71.33</v>
      </c>
      <c r="AD449" s="2" t="n">
        <v>325.46</v>
      </c>
      <c r="AE449" s="2" t="n">
        <v>203.54</v>
      </c>
      <c r="AF449" s="2" t="n">
        <v>96568.8</v>
      </c>
      <c r="AG449" s="2" t="n">
        <v>2688.28</v>
      </c>
    </row>
    <row r="450">
      <c r="A450" s="2" t="inlineStr">
        <is>
          <t>02/05/2025</t>
        </is>
      </c>
      <c r="B450" s="2" t="n">
        <v>109420</v>
      </c>
      <c r="C450" s="2" t="n">
        <v>1061670</v>
      </c>
      <c r="D450" s="2" t="n">
        <v>1035915</v>
      </c>
      <c r="E450" s="2" t="n">
        <v>100.36</v>
      </c>
      <c r="F450" s="2" t="n">
        <v>83.14</v>
      </c>
      <c r="G450" s="2" t="n"/>
      <c r="H450" s="2" t="n"/>
      <c r="I450" s="2" t="n"/>
      <c r="J450" s="2" t="n">
        <v>1567</v>
      </c>
      <c r="K450" s="2" t="n">
        <v>1443.76</v>
      </c>
      <c r="L450" s="2" t="n">
        <v>21300</v>
      </c>
      <c r="M450" s="2" t="n"/>
      <c r="N450" s="2" t="n">
        <v>10120</v>
      </c>
      <c r="O450" s="2" t="n"/>
      <c r="P450" s="2" t="n">
        <v>56.76</v>
      </c>
      <c r="Q450" s="2" t="n">
        <v>49</v>
      </c>
      <c r="R450" s="2" t="n">
        <v>12755</v>
      </c>
      <c r="S450" s="2" t="n">
        <v>12630</v>
      </c>
      <c r="T450" s="2" t="n">
        <v>21810</v>
      </c>
      <c r="U450" s="2" t="n">
        <v>18445</v>
      </c>
      <c r="V450" s="2" t="n">
        <v>19850</v>
      </c>
      <c r="W450" s="2" t="n">
        <v>20685</v>
      </c>
      <c r="X450" s="2" t="n">
        <v>13075</v>
      </c>
      <c r="Y450" s="2" t="n">
        <v>3500</v>
      </c>
      <c r="AA450" s="2" t="n">
        <v>216.9</v>
      </c>
      <c r="AB450" s="2" t="n">
        <v>27.95</v>
      </c>
      <c r="AC450" s="2" t="n">
        <v>71.09</v>
      </c>
      <c r="AD450" s="2" t="n">
        <v>336.7</v>
      </c>
      <c r="AE450" s="2" t="n">
        <v>203.88</v>
      </c>
      <c r="AF450" s="2" t="n">
        <v>96595.3</v>
      </c>
      <c r="AG450" s="2" t="n">
        <v>2785.62</v>
      </c>
    </row>
    <row r="451">
      <c r="A451" s="2" t="inlineStr">
        <is>
          <t>02/04/2025</t>
        </is>
      </c>
      <c r="B451" s="2" t="n">
        <v>109420</v>
      </c>
      <c r="C451" s="2" t="n">
        <v>1061580</v>
      </c>
      <c r="D451" s="2" t="n">
        <v>1035830</v>
      </c>
      <c r="E451" s="2" t="n">
        <v>100.36</v>
      </c>
      <c r="F451" s="2" t="n">
        <v>83.25</v>
      </c>
      <c r="G451" s="2" t="n"/>
      <c r="H451" s="2" t="n"/>
      <c r="I451" s="2" t="n"/>
      <c r="J451" s="2" t="n">
        <v>1576</v>
      </c>
      <c r="K451" s="2" t="n">
        <v>1452.53</v>
      </c>
      <c r="L451" s="2" t="n">
        <v>20210</v>
      </c>
      <c r="M451" s="2" t="n"/>
      <c r="N451" s="2" t="n">
        <v>10095</v>
      </c>
      <c r="O451" s="2" t="n"/>
      <c r="P451" s="2" t="n">
        <v>55.94</v>
      </c>
      <c r="Q451" s="2" t="n">
        <v>48.95</v>
      </c>
      <c r="R451" s="2" t="n">
        <v>12780</v>
      </c>
      <c r="S451" s="2" t="n">
        <v>12410</v>
      </c>
      <c r="T451" s="2" t="n">
        <v>21985</v>
      </c>
      <c r="U451" s="2" t="n">
        <v>18230</v>
      </c>
      <c r="V451" s="2" t="n">
        <v>20045</v>
      </c>
      <c r="W451" s="2" t="n">
        <v>20765</v>
      </c>
      <c r="X451" s="2" t="n">
        <v>13215</v>
      </c>
      <c r="Y451" s="2" t="n">
        <v>3430</v>
      </c>
      <c r="AA451" s="2" t="n">
        <v>215.95</v>
      </c>
      <c r="AB451" s="2" t="n">
        <v>27.76</v>
      </c>
      <c r="AC451" s="2" t="n">
        <v>70.79000000000001</v>
      </c>
      <c r="AD451" s="2" t="n">
        <v>348.31</v>
      </c>
      <c r="AE451" s="2" t="n">
        <v>202.21</v>
      </c>
      <c r="AF451" s="2" t="n">
        <v>97793.39999999999</v>
      </c>
      <c r="AG451" s="2" t="n">
        <v>2731.76</v>
      </c>
    </row>
    <row r="452">
      <c r="A452" s="2" t="inlineStr">
        <is>
          <t>02/03/2025</t>
        </is>
      </c>
      <c r="B452" s="2" t="n">
        <v>109415</v>
      </c>
      <c r="C452" s="2" t="n">
        <v>1061520</v>
      </c>
      <c r="D452" s="2" t="n">
        <v>1035755</v>
      </c>
      <c r="E452" s="2" t="n">
        <v>100.34</v>
      </c>
      <c r="F452" s="2" t="n">
        <v>82.75</v>
      </c>
      <c r="G452" s="2" t="n"/>
      <c r="H452" s="2" t="n"/>
      <c r="I452" s="2" t="n"/>
      <c r="J452" s="2" t="n">
        <v>1563</v>
      </c>
      <c r="K452" s="2" t="n">
        <v>1458.57</v>
      </c>
      <c r="L452" s="2" t="n">
        <v>19685</v>
      </c>
      <c r="M452" s="2" t="n"/>
      <c r="N452" s="2" t="n">
        <v>10215</v>
      </c>
      <c r="O452" s="2" t="n"/>
      <c r="P452" s="2" t="n">
        <v>55.77</v>
      </c>
      <c r="Q452" s="2" t="n">
        <v>48.92</v>
      </c>
      <c r="R452" s="2" t="n">
        <v>12560</v>
      </c>
      <c r="S452" s="2" t="n">
        <v>12120</v>
      </c>
      <c r="T452" s="2" t="n">
        <v>21835</v>
      </c>
      <c r="U452" s="2" t="n">
        <v>18005</v>
      </c>
      <c r="V452" s="2" t="n">
        <v>19860</v>
      </c>
      <c r="W452" s="2" t="n">
        <v>20525</v>
      </c>
      <c r="X452" s="2" t="n">
        <v>13220</v>
      </c>
      <c r="Y452" s="2" t="n">
        <v>3295</v>
      </c>
      <c r="AA452" s="2" t="n">
        <v>213.31</v>
      </c>
      <c r="AB452" s="2" t="n">
        <v>27.72</v>
      </c>
      <c r="AC452" s="2" t="n">
        <v>70.31</v>
      </c>
      <c r="AD452" s="2" t="n">
        <v>347.09</v>
      </c>
      <c r="AE452" s="2" t="n">
        <v>201.67</v>
      </c>
      <c r="AF452" s="2" t="n">
        <v>101337.1</v>
      </c>
      <c r="AG452" s="2" t="n">
        <v>2881.9</v>
      </c>
    </row>
    <row r="453">
      <c r="A453" s="2" t="inlineStr">
        <is>
          <t>02/02/2025</t>
        </is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>
        <v>1577</v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AA453" s="2" t="n"/>
      <c r="AB453" s="2" t="n"/>
      <c r="AC453" s="2" t="n"/>
      <c r="AD453" s="2" t="n"/>
      <c r="AE453" s="2" t="n"/>
      <c r="AF453" s="2" t="n">
        <v>97684.89999999999</v>
      </c>
      <c r="AG453" s="2" t="n">
        <v>2869.75</v>
      </c>
    </row>
    <row r="454">
      <c r="A454" s="2" t="inlineStr">
        <is>
          <t>02/01/2025</t>
        </is>
      </c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>
        <v>1564</v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AA454" s="2" t="n"/>
      <c r="AB454" s="2" t="n"/>
      <c r="AC454" s="2" t="n"/>
      <c r="AD454" s="2" t="n"/>
      <c r="AE454" s="2" t="n"/>
      <c r="AF454" s="2" t="n">
        <v>100648</v>
      </c>
      <c r="AG454" s="2" t="n">
        <v>3119.13</v>
      </c>
    </row>
    <row r="455">
      <c r="A455" s="2" t="inlineStr">
        <is>
          <t>01/31/2025</t>
        </is>
      </c>
      <c r="B455" s="2" t="n">
        <v>109415</v>
      </c>
      <c r="C455" s="2" t="n">
        <v>1061460</v>
      </c>
      <c r="D455" s="2" t="n">
        <v>1035650</v>
      </c>
      <c r="E455" s="2" t="n">
        <v>100.68</v>
      </c>
      <c r="F455" s="2" t="n"/>
      <c r="G455" s="2" t="n"/>
      <c r="H455" s="2" t="n"/>
      <c r="I455" s="2" t="n"/>
      <c r="J455" s="2" t="n">
        <v>1527</v>
      </c>
      <c r="K455" s="2" t="n">
        <v>1455.7</v>
      </c>
      <c r="L455" s="2" t="n">
        <v>18975</v>
      </c>
      <c r="M455" s="2" t="n"/>
      <c r="N455" s="2" t="n">
        <v>10065</v>
      </c>
      <c r="O455" s="2" t="n"/>
      <c r="P455" s="2" t="n">
        <v>55.67</v>
      </c>
      <c r="Q455" s="2" t="n">
        <v>48.88</v>
      </c>
      <c r="R455" s="2" t="n">
        <v>12875</v>
      </c>
      <c r="S455" s="2" t="n">
        <v>12630</v>
      </c>
      <c r="T455" s="2" t="n">
        <v>22220</v>
      </c>
      <c r="U455" s="2" t="n">
        <v>18520</v>
      </c>
      <c r="V455" s="2" t="n">
        <v>20225</v>
      </c>
      <c r="W455" s="2" t="n">
        <v>21000</v>
      </c>
      <c r="X455" s="2" t="n">
        <v>13200</v>
      </c>
      <c r="Y455" s="2" t="n">
        <v>3415</v>
      </c>
      <c r="AA455" s="2" t="n">
        <v>214.99</v>
      </c>
      <c r="AB455" s="2" t="n">
        <v>27.83</v>
      </c>
      <c r="AC455" s="2" t="n">
        <v>70.8</v>
      </c>
      <c r="AD455" s="2" t="n">
        <v>334.79</v>
      </c>
      <c r="AE455" s="2" t="n">
        <v>202.22</v>
      </c>
      <c r="AF455" s="2" t="n">
        <v>102424.2</v>
      </c>
      <c r="AG455" s="2" t="n">
        <v>3298.69</v>
      </c>
    </row>
    <row r="456">
      <c r="A456" s="2" t="inlineStr">
        <is>
          <t>01/30/2025</t>
        </is>
      </c>
      <c r="B456" s="2" t="n"/>
      <c r="C456" s="2" t="n"/>
      <c r="D456" s="2" t="n"/>
      <c r="E456" s="2" t="n">
        <v>100.66</v>
      </c>
      <c r="F456" s="2" t="n"/>
      <c r="G456" s="2" t="n"/>
      <c r="H456" s="2" t="n"/>
      <c r="I456" s="2" t="n"/>
      <c r="J456" s="2" t="n">
        <v>1509</v>
      </c>
      <c r="K456" s="2" t="n">
        <v>1443.57</v>
      </c>
      <c r="L456" s="2" t="n"/>
      <c r="M456" s="2" t="n"/>
      <c r="N456" s="2" t="n"/>
      <c r="O456" s="2" t="n"/>
      <c r="P456" s="2" t="n">
        <v>55.92</v>
      </c>
      <c r="Q456" s="2" t="n">
        <v>48.82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AA456" s="2" t="n">
        <v>215.34</v>
      </c>
      <c r="AB456" s="2" t="n">
        <v>27.98</v>
      </c>
      <c r="AC456" s="2" t="n">
        <v>71.16</v>
      </c>
      <c r="AD456" s="2" t="n">
        <v>340.09</v>
      </c>
      <c r="AE456" s="2" t="n">
        <v>202.93</v>
      </c>
      <c r="AF456" s="2" t="n">
        <v>104726.9</v>
      </c>
      <c r="AG456" s="2" t="n">
        <v>3247.22</v>
      </c>
    </row>
    <row r="457">
      <c r="A457" s="2" t="inlineStr">
        <is>
          <t>01/29/2025</t>
        </is>
      </c>
      <c r="B457" s="2" t="n"/>
      <c r="C457" s="2" t="n"/>
      <c r="D457" s="2" t="n"/>
      <c r="E457" s="2" t="n">
        <v>100.64</v>
      </c>
      <c r="F457" s="2" t="n"/>
      <c r="G457" s="2" t="n"/>
      <c r="H457" s="2" t="n"/>
      <c r="I457" s="2" t="n"/>
      <c r="J457" s="2" t="n">
        <v>1534</v>
      </c>
      <c r="K457" s="2" t="n">
        <v>1441.66</v>
      </c>
      <c r="L457" s="2" t="n"/>
      <c r="M457" s="2" t="n"/>
      <c r="N457" s="2" t="n"/>
      <c r="O457" s="2" t="n"/>
      <c r="P457" s="2" t="n">
        <v>55.7</v>
      </c>
      <c r="Q457" s="2" t="n">
        <v>48.78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AA457" s="2" t="n">
        <v>214.44</v>
      </c>
      <c r="AB457" s="2" t="n">
        <v>28.01</v>
      </c>
      <c r="AC457" s="2" t="n">
        <v>70.8</v>
      </c>
      <c r="AD457" s="2" t="n">
        <v>341.25</v>
      </c>
      <c r="AE457" s="2" t="n">
        <v>201.05</v>
      </c>
      <c r="AF457" s="2" t="n">
        <v>103722</v>
      </c>
      <c r="AG457" s="2" t="n">
        <v>3113.26</v>
      </c>
    </row>
    <row r="458">
      <c r="A458" s="2" t="inlineStr">
        <is>
          <t>01/28/2025</t>
        </is>
      </c>
      <c r="B458" s="2" t="n"/>
      <c r="C458" s="2" t="n"/>
      <c r="D458" s="2" t="n"/>
      <c r="E458" s="2" t="n">
        <v>100.64</v>
      </c>
      <c r="F458" s="2" t="n"/>
      <c r="G458" s="2" t="n"/>
      <c r="H458" s="2" t="n"/>
      <c r="I458" s="2" t="n"/>
      <c r="J458" s="2" t="n">
        <v>1539</v>
      </c>
      <c r="K458" s="2" t="n">
        <v>1445.37</v>
      </c>
      <c r="L458" s="2" t="n"/>
      <c r="M458" s="2" t="n"/>
      <c r="N458" s="2" t="n"/>
      <c r="O458" s="2" t="n"/>
      <c r="P458" s="2" t="n">
        <v>55.78</v>
      </c>
      <c r="Q458" s="2" t="n">
        <v>48.82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AA458" s="2" t="n">
        <v>214.81</v>
      </c>
      <c r="AB458" s="2" t="n">
        <v>28.07</v>
      </c>
      <c r="AC458" s="2" t="n">
        <v>71.12</v>
      </c>
      <c r="AD458" s="2" t="n">
        <v>335.93</v>
      </c>
      <c r="AE458" s="2" t="n">
        <v>201.41</v>
      </c>
      <c r="AF458" s="2" t="n">
        <v>101349.3</v>
      </c>
      <c r="AG458" s="2" t="n">
        <v>3077.83</v>
      </c>
    </row>
    <row r="459">
      <c r="A459" s="2" t="inlineStr">
        <is>
          <t>01/27/2025</t>
        </is>
      </c>
      <c r="B459" s="2" t="n"/>
      <c r="C459" s="2" t="n"/>
      <c r="D459" s="2" t="n"/>
      <c r="E459" s="2" t="n">
        <v>100.61</v>
      </c>
      <c r="F459" s="2" t="n"/>
      <c r="G459" s="2" t="n"/>
      <c r="H459" s="2" t="n"/>
      <c r="I459" s="2" t="n"/>
      <c r="J459" s="2" t="n">
        <v>1518</v>
      </c>
      <c r="K459" s="2" t="n">
        <v>1432.84</v>
      </c>
      <c r="L459" s="2" t="n"/>
      <c r="M459" s="2" t="n"/>
      <c r="N459" s="2" t="n"/>
      <c r="O459" s="2" t="n"/>
      <c r="P459" s="2" t="n">
        <v>55.87</v>
      </c>
      <c r="Q459" s="2" t="n">
        <v>48.77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AA459" s="2" t="n">
        <v>211.71</v>
      </c>
      <c r="AB459" s="2" t="n">
        <v>28.45</v>
      </c>
      <c r="AC459" s="2" t="n">
        <v>70.52</v>
      </c>
      <c r="AD459" s="2" t="n">
        <v>347.92</v>
      </c>
      <c r="AE459" s="2" t="n">
        <v>201.94</v>
      </c>
      <c r="AF459" s="2" t="n">
        <v>102091.7</v>
      </c>
      <c r="AG459" s="2" t="n">
        <v>3179.47</v>
      </c>
    </row>
    <row r="460">
      <c r="A460" s="2" t="inlineStr">
        <is>
          <t>01/26/2025</t>
        </is>
      </c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>
        <v>1524</v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AA460" s="2" t="n"/>
      <c r="AB460" s="2" t="n"/>
      <c r="AC460" s="2" t="n"/>
      <c r="AD460" s="2" t="n"/>
      <c r="AE460" s="2" t="n"/>
      <c r="AF460" s="2" t="n">
        <v>102637.8</v>
      </c>
      <c r="AG460" s="2" t="n">
        <v>3234.18</v>
      </c>
    </row>
    <row r="461">
      <c r="A461" s="2" t="inlineStr">
        <is>
          <t>01/25/2025</t>
        </is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>
        <v>1502</v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AA461" s="2" t="n"/>
      <c r="AB461" s="2" t="n"/>
      <c r="AC461" s="2" t="n"/>
      <c r="AD461" s="2" t="n"/>
      <c r="AE461" s="2" t="n"/>
      <c r="AF461" s="2" t="n">
        <v>104742.9</v>
      </c>
      <c r="AG461" s="2" t="n">
        <v>3318.14</v>
      </c>
    </row>
    <row r="462">
      <c r="A462" s="2" t="inlineStr">
        <is>
          <t>01/24/2025</t>
        </is>
      </c>
      <c r="B462" s="2" t="n">
        <v>109370</v>
      </c>
      <c r="C462" s="2" t="n">
        <v>1061365</v>
      </c>
      <c r="D462" s="2" t="n">
        <v>1035555</v>
      </c>
      <c r="E462" s="2" t="n">
        <v>100.61</v>
      </c>
      <c r="F462" s="2" t="n"/>
      <c r="G462" s="2" t="n"/>
      <c r="H462" s="2" t="n"/>
      <c r="I462" s="2" t="n"/>
      <c r="J462" s="2" t="n">
        <v>1500</v>
      </c>
      <c r="K462" s="2" t="n">
        <v>1427.98</v>
      </c>
      <c r="L462" s="2" t="n">
        <v>18545</v>
      </c>
      <c r="M462" s="2" t="n"/>
      <c r="N462" s="2" t="n">
        <v>9825</v>
      </c>
      <c r="O462" s="2" t="n"/>
      <c r="P462" s="2" t="n">
        <v>55.2</v>
      </c>
      <c r="Q462" s="2" t="n">
        <v>48.71</v>
      </c>
      <c r="R462" s="2" t="n">
        <v>12840</v>
      </c>
      <c r="S462" s="2" t="n">
        <v>12600</v>
      </c>
      <c r="T462" s="2" t="n">
        <v>21985</v>
      </c>
      <c r="U462" s="2" t="n">
        <v>18680</v>
      </c>
      <c r="V462" s="2" t="n">
        <v>20000</v>
      </c>
      <c r="W462" s="2" t="n">
        <v>20920</v>
      </c>
      <c r="X462" s="2" t="n">
        <v>12995</v>
      </c>
      <c r="Y462" s="2" t="n">
        <v>3410</v>
      </c>
      <c r="AA462" s="2" t="n">
        <v>218.05</v>
      </c>
      <c r="AB462" s="2" t="n">
        <v>28.07</v>
      </c>
      <c r="AC462" s="2" t="n">
        <v>71.51000000000001</v>
      </c>
      <c r="AD462" s="2" t="n">
        <v>353.67</v>
      </c>
      <c r="AE462" s="2" t="n">
        <v>202.27</v>
      </c>
      <c r="AF462" s="2" t="n">
        <v>104862.3</v>
      </c>
      <c r="AG462" s="2" t="n">
        <v>3311.05</v>
      </c>
    </row>
    <row r="463">
      <c r="A463" s="2" t="inlineStr">
        <is>
          <t>01/23/2025</t>
        </is>
      </c>
      <c r="B463" s="2" t="n">
        <v>109300</v>
      </c>
      <c r="C463" s="2" t="n">
        <v>1061080</v>
      </c>
      <c r="D463" s="2" t="n">
        <v>1035280</v>
      </c>
      <c r="E463" s="2" t="n">
        <v>100.58</v>
      </c>
      <c r="F463" s="2" t="n"/>
      <c r="G463" s="2" t="n"/>
      <c r="H463" s="2" t="n"/>
      <c r="I463" s="2" t="n"/>
      <c r="J463" s="2" t="n">
        <v>1492</v>
      </c>
      <c r="K463" s="2" t="n">
        <v>1434.3</v>
      </c>
      <c r="L463" s="2" t="n">
        <v>18495</v>
      </c>
      <c r="M463" s="2" t="n"/>
      <c r="N463" s="2" t="n">
        <v>9935</v>
      </c>
      <c r="O463" s="2" t="n"/>
      <c r="P463" s="2" t="n">
        <v>54.99</v>
      </c>
      <c r="Q463" s="2" t="n">
        <v>48.69</v>
      </c>
      <c r="R463" s="2" t="n">
        <v>12770</v>
      </c>
      <c r="S463" s="2" t="n">
        <v>12500</v>
      </c>
      <c r="T463" s="2" t="n">
        <v>22020</v>
      </c>
      <c r="U463" s="2" t="n">
        <v>18580</v>
      </c>
      <c r="V463" s="2" t="n">
        <v>19975</v>
      </c>
      <c r="W463" s="2" t="n">
        <v>20930</v>
      </c>
      <c r="X463" s="2" t="n">
        <v>13025</v>
      </c>
      <c r="Y463" s="2" t="n">
        <v>3410</v>
      </c>
      <c r="AA463" s="2" t="n">
        <v>219.31</v>
      </c>
      <c r="AB463" s="2" t="n">
        <v>28.09</v>
      </c>
      <c r="AC463" s="2" t="n">
        <v>71.73</v>
      </c>
      <c r="AD463" s="2" t="n">
        <v>373.12</v>
      </c>
      <c r="AE463" s="2" t="n">
        <v>202.41</v>
      </c>
      <c r="AF463" s="2" t="n">
        <v>103912.1</v>
      </c>
      <c r="AG463" s="2" t="n">
        <v>3338.37</v>
      </c>
    </row>
    <row r="464">
      <c r="A464" s="2" t="inlineStr">
        <is>
          <t>01/22/2025</t>
        </is>
      </c>
      <c r="B464" s="2" t="n">
        <v>109285</v>
      </c>
      <c r="C464" s="2" t="n">
        <v>1060445</v>
      </c>
      <c r="D464" s="2" t="n">
        <v>1034705</v>
      </c>
      <c r="E464" s="2" t="n">
        <v>100.57</v>
      </c>
      <c r="F464" s="2" t="n"/>
      <c r="G464" s="2" t="n"/>
      <c r="H464" s="2" t="n"/>
      <c r="I464" s="2" t="n"/>
      <c r="J464" s="2" t="n">
        <v>1494</v>
      </c>
      <c r="K464" s="2" t="n">
        <v>1435.12</v>
      </c>
      <c r="L464" s="2" t="n">
        <v>18515</v>
      </c>
      <c r="M464" s="2" t="n"/>
      <c r="N464" s="2" t="n">
        <v>9960</v>
      </c>
      <c r="O464" s="2" t="n"/>
      <c r="P464" s="2" t="n">
        <v>55.36</v>
      </c>
      <c r="Q464" s="2" t="n">
        <v>48.65</v>
      </c>
      <c r="R464" s="2" t="n">
        <v>12995</v>
      </c>
      <c r="S464" s="2" t="n">
        <v>12575</v>
      </c>
      <c r="T464" s="2" t="n">
        <v>21960</v>
      </c>
      <c r="U464" s="2" t="n">
        <v>18770</v>
      </c>
      <c r="V464" s="2" t="n">
        <v>19890</v>
      </c>
      <c r="W464" s="2" t="n">
        <v>20900</v>
      </c>
      <c r="X464" s="2" t="n">
        <v>13010</v>
      </c>
      <c r="Y464" s="2" t="n">
        <v>3460</v>
      </c>
      <c r="AA464" s="2" t="n">
        <v>218.83</v>
      </c>
      <c r="AB464" s="2" t="n">
        <v>27.92</v>
      </c>
      <c r="AC464" s="2" t="n">
        <v>71.34</v>
      </c>
      <c r="AD464" s="2" t="n">
        <v>377.31</v>
      </c>
      <c r="AE464" s="2" t="n">
        <v>201.08</v>
      </c>
      <c r="AF464" s="2" t="n">
        <v>103684.8</v>
      </c>
      <c r="AG464" s="2" t="n">
        <v>3242.6</v>
      </c>
    </row>
    <row r="465">
      <c r="A465" s="2" t="inlineStr">
        <is>
          <t>01/21/2025</t>
        </is>
      </c>
      <c r="B465" s="2" t="n">
        <v>109280</v>
      </c>
      <c r="C465" s="2" t="n">
        <v>1060350</v>
      </c>
      <c r="D465" s="2" t="n">
        <v>1034625</v>
      </c>
      <c r="E465" s="2" t="n">
        <v>100.55</v>
      </c>
      <c r="F465" s="2" t="n"/>
      <c r="G465" s="2" t="n"/>
      <c r="H465" s="2" t="n"/>
      <c r="I465" s="2" t="n"/>
      <c r="J465" s="2" t="n">
        <v>1485</v>
      </c>
      <c r="K465" s="2" t="n">
        <v>1431.65</v>
      </c>
      <c r="L465" s="2" t="n">
        <v>18400</v>
      </c>
      <c r="M465" s="2" t="n"/>
      <c r="N465" s="2" t="n">
        <v>9980</v>
      </c>
      <c r="O465" s="2" t="n"/>
      <c r="P465" s="2" t="n">
        <v>55.6</v>
      </c>
      <c r="Q465" s="2" t="n">
        <v>48.67</v>
      </c>
      <c r="R465" s="2" t="n">
        <v>12720</v>
      </c>
      <c r="S465" s="2" t="n">
        <v>12435</v>
      </c>
      <c r="T465" s="2" t="n">
        <v>21790</v>
      </c>
      <c r="U465" s="2" t="n">
        <v>18550</v>
      </c>
      <c r="V465" s="2" t="n">
        <v>19750</v>
      </c>
      <c r="W465" s="2" t="n">
        <v>20645</v>
      </c>
      <c r="X465" s="2" t="n">
        <v>12990</v>
      </c>
      <c r="Y465" s="2" t="n">
        <v>3465</v>
      </c>
      <c r="AA465" s="2" t="n">
        <v>216.1</v>
      </c>
      <c r="AB465" s="2" t="n">
        <v>28.22</v>
      </c>
      <c r="AC465" s="2" t="n">
        <v>70.94</v>
      </c>
      <c r="AD465" s="2" t="n">
        <v>389.1</v>
      </c>
      <c r="AE465" s="2" t="n">
        <v>201.1</v>
      </c>
      <c r="AF465" s="2" t="n">
        <v>106157.2</v>
      </c>
      <c r="AG465" s="2" t="n">
        <v>3328.3</v>
      </c>
    </row>
    <row r="466">
      <c r="A466" s="2" t="inlineStr">
        <is>
          <t>01/20/2025</t>
        </is>
      </c>
      <c r="B466" s="2" t="n">
        <v>109275</v>
      </c>
      <c r="C466" s="2" t="n">
        <v>1060265</v>
      </c>
      <c r="D466" s="2" t="n">
        <v>1034540</v>
      </c>
      <c r="E466" s="2" t="n"/>
      <c r="F466" s="2" t="n"/>
      <c r="G466" s="2" t="n"/>
      <c r="H466" s="2" t="n"/>
      <c r="I466" s="2" t="n"/>
      <c r="J466" s="2" t="n">
        <v>1499</v>
      </c>
      <c r="K466" s="2" t="n">
        <v>1436.67</v>
      </c>
      <c r="L466" s="2" t="n">
        <v>18310</v>
      </c>
      <c r="M466" s="2" t="n"/>
      <c r="N466" s="2" t="n">
        <v>9965</v>
      </c>
      <c r="O466" s="2" t="n"/>
      <c r="P466" s="2" t="n"/>
      <c r="Q466" s="2" t="n"/>
      <c r="R466" s="2" t="n">
        <v>12750</v>
      </c>
      <c r="S466" s="2" t="n">
        <v>12455</v>
      </c>
      <c r="T466" s="2" t="n">
        <v>21930</v>
      </c>
      <c r="U466" s="2" t="n">
        <v>18555</v>
      </c>
      <c r="V466" s="2" t="n">
        <v>19890</v>
      </c>
      <c r="W466" s="2" t="n">
        <v>20770</v>
      </c>
      <c r="X466" s="2" t="n">
        <v>13095</v>
      </c>
      <c r="Y466" s="2" t="n">
        <v>3515</v>
      </c>
      <c r="AA466" s="2" t="n"/>
      <c r="AB466" s="2" t="n"/>
      <c r="AC466" s="2" t="n"/>
      <c r="AD466" s="2" t="n"/>
      <c r="AE466" s="2" t="n"/>
      <c r="AF466" s="2" t="n">
        <v>102197.7</v>
      </c>
      <c r="AG466" s="2" t="n">
        <v>3282.68</v>
      </c>
    </row>
    <row r="467">
      <c r="A467" s="2" t="inlineStr">
        <is>
          <t>01/19/2025</t>
        </is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>
        <v>1522</v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AA467" s="2" t="n"/>
      <c r="AB467" s="2" t="n"/>
      <c r="AC467" s="2" t="n"/>
      <c r="AD467" s="2" t="n"/>
      <c r="AE467" s="2" t="n"/>
      <c r="AF467" s="2" t="n">
        <v>101319.5</v>
      </c>
      <c r="AG467" s="2" t="n">
        <v>3216.74</v>
      </c>
    </row>
    <row r="468">
      <c r="A468" s="2" t="inlineStr">
        <is>
          <t>01/18/2025</t>
        </is>
      </c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>
        <v>1489</v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AA468" s="2" t="n"/>
      <c r="AB468" s="2" t="n"/>
      <c r="AC468" s="2" t="n"/>
      <c r="AD468" s="2" t="n"/>
      <c r="AE468" s="2" t="n"/>
      <c r="AF468" s="2" t="n">
        <v>104536.9</v>
      </c>
      <c r="AG468" s="2" t="n">
        <v>3308.74</v>
      </c>
    </row>
    <row r="469">
      <c r="A469" s="2" t="inlineStr">
        <is>
          <t>01/17/2025</t>
        </is>
      </c>
      <c r="B469" s="2" t="n">
        <v>109270</v>
      </c>
      <c r="C469" s="2" t="n">
        <v>1060195</v>
      </c>
      <c r="D469" s="2" t="n">
        <v>1034460</v>
      </c>
      <c r="E469" s="2" t="n">
        <v>100.54</v>
      </c>
      <c r="F469" s="2" t="n"/>
      <c r="G469" s="2" t="n"/>
      <c r="H469" s="2" t="n"/>
      <c r="I469" s="2" t="n"/>
      <c r="J469" s="2" t="n">
        <v>1466</v>
      </c>
      <c r="K469" s="2" t="n">
        <v>1456.03</v>
      </c>
      <c r="L469" s="2" t="n">
        <v>18345</v>
      </c>
      <c r="M469" s="2" t="n"/>
      <c r="N469" s="2" t="n">
        <v>10010</v>
      </c>
      <c r="O469" s="2" t="n"/>
      <c r="P469" s="2" t="n">
        <v>55.16</v>
      </c>
      <c r="Q469" s="2" t="n">
        <v>48.7</v>
      </c>
      <c r="R469" s="2" t="n">
        <v>12720</v>
      </c>
      <c r="S469" s="2" t="n">
        <v>12375</v>
      </c>
      <c r="T469" s="2" t="n">
        <v>21850</v>
      </c>
      <c r="U469" s="2" t="n">
        <v>18570</v>
      </c>
      <c r="V469" s="2" t="n">
        <v>19800</v>
      </c>
      <c r="W469" s="2" t="n">
        <v>20575</v>
      </c>
      <c r="X469" s="2" t="n">
        <v>13125</v>
      </c>
      <c r="Y469" s="2" t="n">
        <v>3505</v>
      </c>
      <c r="AA469" s="2" t="n">
        <v>214.78</v>
      </c>
      <c r="AB469" s="2" t="n">
        <v>27.99</v>
      </c>
      <c r="AC469" s="2" t="n">
        <v>70.29000000000001</v>
      </c>
      <c r="AD469" s="2" t="n">
        <v>396.5</v>
      </c>
      <c r="AE469" s="2" t="n">
        <v>199.15</v>
      </c>
      <c r="AF469" s="2" t="n">
        <v>104084.9</v>
      </c>
      <c r="AG469" s="2" t="n">
        <v>3472.84</v>
      </c>
    </row>
    <row r="470">
      <c r="A470" s="2" t="inlineStr">
        <is>
          <t>01/16/2025</t>
        </is>
      </c>
      <c r="B470" s="2" t="n">
        <v>109235</v>
      </c>
      <c r="C470" s="2" t="n">
        <v>1060105</v>
      </c>
      <c r="D470" s="2" t="n">
        <v>1034370</v>
      </c>
      <c r="E470" s="2" t="n">
        <v>100.49</v>
      </c>
      <c r="F470" s="2" t="n"/>
      <c r="G470" s="2" t="n"/>
      <c r="H470" s="2" t="n"/>
      <c r="I470" s="2" t="n"/>
      <c r="J470" s="2" t="n">
        <v>1468</v>
      </c>
      <c r="K470" s="2" t="n">
        <v>1455.75</v>
      </c>
      <c r="L470" s="2" t="n">
        <v>18330</v>
      </c>
      <c r="M470" s="2" t="n"/>
      <c r="N470" s="2" t="n">
        <v>9970</v>
      </c>
      <c r="O470" s="2" t="n"/>
      <c r="P470" s="2" t="n">
        <v>55.09</v>
      </c>
      <c r="Q470" s="2" t="n">
        <v>48.7</v>
      </c>
      <c r="R470" s="2" t="n">
        <v>12505</v>
      </c>
      <c r="S470" s="2" t="n">
        <v>12360</v>
      </c>
      <c r="T470" s="2" t="n">
        <v>21855</v>
      </c>
      <c r="U470" s="2" t="n">
        <v>18600</v>
      </c>
      <c r="V470" s="2" t="n">
        <v>19820</v>
      </c>
      <c r="W470" s="2" t="n">
        <v>20690</v>
      </c>
      <c r="X470" s="2" t="n">
        <v>13110</v>
      </c>
      <c r="Y470" s="2" t="n">
        <v>3540</v>
      </c>
      <c r="AA470" s="2" t="n">
        <v>211.22</v>
      </c>
      <c r="AB470" s="2" t="n">
        <v>27.83</v>
      </c>
      <c r="AC470" s="2" t="n">
        <v>69.59999999999999</v>
      </c>
      <c r="AD470" s="2" t="n">
        <v>367</v>
      </c>
      <c r="AE470" s="2" t="n">
        <v>197.83</v>
      </c>
      <c r="AF470" s="2" t="n">
        <v>100004.5</v>
      </c>
      <c r="AG470" s="2" t="n">
        <v>3307</v>
      </c>
    </row>
    <row r="471">
      <c r="A471" s="2" t="inlineStr">
        <is>
          <t>01/15/2025</t>
        </is>
      </c>
      <c r="B471" s="2" t="n">
        <v>109220</v>
      </c>
      <c r="C471" s="2" t="n">
        <v>1059835</v>
      </c>
      <c r="D471" s="2" t="n">
        <v>1034120</v>
      </c>
      <c r="E471" s="2" t="n">
        <v>100.49</v>
      </c>
      <c r="F471" s="2" t="n"/>
      <c r="G471" s="2" t="n"/>
      <c r="H471" s="2" t="n"/>
      <c r="I471" s="2" t="n"/>
      <c r="J471" s="2" t="n">
        <v>1467</v>
      </c>
      <c r="K471" s="2" t="n">
        <v>1454.54</v>
      </c>
      <c r="L471" s="2" t="n">
        <v>18395</v>
      </c>
      <c r="M471" s="2" t="n"/>
      <c r="N471" s="2" t="n">
        <v>9855</v>
      </c>
      <c r="O471" s="2" t="n"/>
      <c r="P471" s="2" t="n">
        <v>54.88</v>
      </c>
      <c r="Q471" s="2" t="n">
        <v>48.65</v>
      </c>
      <c r="R471" s="2" t="n">
        <v>12500</v>
      </c>
      <c r="S471" s="2" t="n">
        <v>12100</v>
      </c>
      <c r="T471" s="2" t="n">
        <v>21515</v>
      </c>
      <c r="U471" s="2" t="n">
        <v>18355</v>
      </c>
      <c r="V471" s="2" t="n">
        <v>19510</v>
      </c>
      <c r="W471" s="2" t="n">
        <v>20285</v>
      </c>
      <c r="X471" s="2" t="n">
        <v>13070</v>
      </c>
      <c r="Y471" s="2" t="n">
        <v>3495</v>
      </c>
      <c r="AA471" s="2" t="n">
        <v>212.66</v>
      </c>
      <c r="AB471" s="2" t="n">
        <v>27.82</v>
      </c>
      <c r="AC471" s="2" t="n">
        <v>69.72</v>
      </c>
      <c r="AD471" s="2" t="n">
        <v>360.62</v>
      </c>
      <c r="AE471" s="2" t="n">
        <v>197.46</v>
      </c>
      <c r="AF471" s="2" t="n">
        <v>100499.8</v>
      </c>
      <c r="AG471" s="2" t="n">
        <v>3450.79</v>
      </c>
    </row>
    <row r="472">
      <c r="A472" s="2" t="inlineStr">
        <is>
          <t>01/14/2025</t>
        </is>
      </c>
      <c r="B472" s="2" t="n">
        <v>109220</v>
      </c>
      <c r="C472" s="2" t="n">
        <v>1059760</v>
      </c>
      <c r="D472" s="2" t="n">
        <v>1034035</v>
      </c>
      <c r="E472" s="2" t="n">
        <v>100.48</v>
      </c>
      <c r="F472" s="2" t="n"/>
      <c r="G472" s="2" t="n"/>
      <c r="H472" s="2" t="n"/>
      <c r="I472" s="2" t="n"/>
      <c r="J472" s="2" t="n">
        <v>1486</v>
      </c>
      <c r="K472" s="2" t="n">
        <v>1458.16</v>
      </c>
      <c r="L472" s="2" t="n">
        <v>18460</v>
      </c>
      <c r="M472" s="2" t="n"/>
      <c r="N472" s="2" t="n">
        <v>9890</v>
      </c>
      <c r="O472" s="2" t="n"/>
      <c r="P472" s="2" t="n">
        <v>53.99</v>
      </c>
      <c r="Q472" s="2" t="n">
        <v>48.52</v>
      </c>
      <c r="R472" s="2" t="n">
        <v>12445</v>
      </c>
      <c r="S472" s="2" t="n">
        <v>12215</v>
      </c>
      <c r="T472" s="2" t="n">
        <v>21590</v>
      </c>
      <c r="U472" s="2" t="n">
        <v>18385</v>
      </c>
      <c r="V472" s="2" t="n">
        <v>19595</v>
      </c>
      <c r="W472" s="2" t="n">
        <v>20425</v>
      </c>
      <c r="X472" s="2" t="n">
        <v>13095</v>
      </c>
      <c r="Y472" s="2" t="n">
        <v>3515</v>
      </c>
      <c r="AA472" s="2" t="n">
        <v>207.95</v>
      </c>
      <c r="AB472" s="2" t="n">
        <v>27.52</v>
      </c>
      <c r="AC472" s="2" t="n">
        <v>68.48</v>
      </c>
      <c r="AD472" s="2" t="n">
        <v>342.17</v>
      </c>
      <c r="AE472" s="2" t="n">
        <v>195.18</v>
      </c>
      <c r="AF472" s="2" t="n">
        <v>96542.10000000001</v>
      </c>
      <c r="AG472" s="2" t="n">
        <v>3224.06</v>
      </c>
    </row>
    <row r="473">
      <c r="A473" s="2" t="inlineStr">
        <is>
          <t>01/13/2025</t>
        </is>
      </c>
      <c r="B473" s="2" t="n">
        <v>109215</v>
      </c>
      <c r="C473" s="2" t="n">
        <v>1059670</v>
      </c>
      <c r="D473" s="2" t="n">
        <v>1033935</v>
      </c>
      <c r="E473" s="2" t="n">
        <v>100.47</v>
      </c>
      <c r="F473" s="2" t="n"/>
      <c r="G473" s="2" t="n"/>
      <c r="H473" s="2" t="n"/>
      <c r="I473" s="2" t="n"/>
      <c r="J473" s="2" t="n">
        <v>1506</v>
      </c>
      <c r="K473" s="2" t="n">
        <v>1464.38</v>
      </c>
      <c r="L473" s="2" t="n">
        <v>18570</v>
      </c>
      <c r="M473" s="2" t="n"/>
      <c r="N473" s="2" t="n">
        <v>9925</v>
      </c>
      <c r="O473" s="2" t="n"/>
      <c r="P473" s="2" t="n">
        <v>54.07</v>
      </c>
      <c r="Q473" s="2" t="n">
        <v>48.48</v>
      </c>
      <c r="R473" s="2" t="n">
        <v>12275</v>
      </c>
      <c r="S473" s="2" t="n">
        <v>12000</v>
      </c>
      <c r="T473" s="2" t="n">
        <v>21510</v>
      </c>
      <c r="U473" s="2" t="n">
        <v>18315</v>
      </c>
      <c r="V473" s="2" t="n">
        <v>19515</v>
      </c>
      <c r="W473" s="2" t="n">
        <v>20375</v>
      </c>
      <c r="X473" s="2" t="n">
        <v>13135</v>
      </c>
      <c r="Y473" s="2" t="n">
        <v>3500</v>
      </c>
      <c r="AA473" s="2" t="n">
        <v>208.14</v>
      </c>
      <c r="AB473" s="2" t="n">
        <v>27.3</v>
      </c>
      <c r="AC473" s="2" t="n">
        <v>68.41</v>
      </c>
      <c r="AD473" s="2" t="n">
        <v>328.4</v>
      </c>
      <c r="AE473" s="2" t="n">
        <v>194.12</v>
      </c>
      <c r="AF473" s="2" t="n">
        <v>94536.10000000001</v>
      </c>
      <c r="AG473" s="2" t="n">
        <v>3137.73</v>
      </c>
    </row>
    <row r="474">
      <c r="A474" s="2" t="inlineStr">
        <is>
          <t>01/12/2025</t>
        </is>
      </c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AA474" s="2" t="n"/>
      <c r="AB474" s="2" t="n"/>
      <c r="AC474" s="2" t="n"/>
      <c r="AD474" s="2" t="n"/>
      <c r="AE474" s="2" t="n"/>
      <c r="AF474" s="2" t="n">
        <v>94541.8</v>
      </c>
      <c r="AG474" s="2" t="n">
        <v>3267.3</v>
      </c>
    </row>
    <row r="475">
      <c r="A475" s="2" t="inlineStr">
        <is>
          <t>01/11/2025</t>
        </is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>
        <v>1504</v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AA475" s="2" t="n"/>
      <c r="AB475" s="2" t="n"/>
      <c r="AC475" s="2" t="n"/>
      <c r="AD475" s="2" t="n"/>
      <c r="AE475" s="2" t="n"/>
      <c r="AF475" s="2" t="n">
        <v>94612</v>
      </c>
      <c r="AG475" s="2" t="n">
        <v>3283.57</v>
      </c>
    </row>
    <row r="476">
      <c r="A476" s="2" t="inlineStr">
        <is>
          <t>01/10/2025</t>
        </is>
      </c>
      <c r="B476" s="2" t="n">
        <v>109200</v>
      </c>
      <c r="C476" s="2" t="n">
        <v>1059600</v>
      </c>
      <c r="D476" s="2" t="n">
        <v>1033845</v>
      </c>
      <c r="E476" s="2" t="n">
        <v>100.45</v>
      </c>
      <c r="F476" s="2" t="n"/>
      <c r="G476" s="2" t="n"/>
      <c r="H476" s="2" t="n"/>
      <c r="I476" s="2" t="n"/>
      <c r="J476" s="2" t="n">
        <v>1507</v>
      </c>
      <c r="K476" s="2" t="n">
        <v>1473.08</v>
      </c>
      <c r="L476" s="2" t="n">
        <v>18395</v>
      </c>
      <c r="M476" s="2" t="n"/>
      <c r="N476" s="2" t="n">
        <v>9935</v>
      </c>
      <c r="O476" s="2" t="n"/>
      <c r="P476" s="2" t="n">
        <v>54.17</v>
      </c>
      <c r="Q476" s="2" t="n">
        <v>48.45</v>
      </c>
      <c r="R476" s="2" t="n">
        <v>12480</v>
      </c>
      <c r="S476" s="2" t="n">
        <v>12210</v>
      </c>
      <c r="T476" s="2" t="n">
        <v>21765</v>
      </c>
      <c r="U476" s="2" t="n">
        <v>18560</v>
      </c>
      <c r="V476" s="2" t="n">
        <v>19760</v>
      </c>
      <c r="W476" s="2" t="n">
        <v>20635</v>
      </c>
      <c r="X476" s="2" t="n">
        <v>13130</v>
      </c>
      <c r="Y476" s="2" t="n">
        <v>3600</v>
      </c>
      <c r="AA476" s="2" t="n">
        <v>208.85</v>
      </c>
      <c r="AB476" s="2" t="n">
        <v>27.01</v>
      </c>
      <c r="AC476" s="2" t="n">
        <v>68.3</v>
      </c>
      <c r="AD476" s="2" t="n">
        <v>327.91</v>
      </c>
      <c r="AE476" s="2" t="n">
        <v>192.84</v>
      </c>
      <c r="AF476" s="2" t="n">
        <v>94724.10000000001</v>
      </c>
      <c r="AG476" s="2" t="n">
        <v>3267.08</v>
      </c>
    </row>
    <row r="477">
      <c r="A477" s="2" t="inlineStr">
        <is>
          <t>01/09/2025</t>
        </is>
      </c>
      <c r="B477" s="2" t="n">
        <v>109170</v>
      </c>
      <c r="C477" s="2" t="n">
        <v>1059505</v>
      </c>
      <c r="D477" s="2" t="n">
        <v>1033755</v>
      </c>
      <c r="E477" s="2" t="n"/>
      <c r="F477" s="2" t="n"/>
      <c r="G477" s="2" t="n"/>
      <c r="H477" s="2" t="n"/>
      <c r="I477" s="2" t="n"/>
      <c r="J477" s="2" t="n">
        <v>1511</v>
      </c>
      <c r="K477" s="2" t="n">
        <v>1457.41</v>
      </c>
      <c r="L477" s="2" t="n">
        <v>18270</v>
      </c>
      <c r="M477" s="2" t="n"/>
      <c r="N477" s="2" t="n">
        <v>9950</v>
      </c>
      <c r="O477" s="2" t="n"/>
      <c r="P477" s="2" t="n"/>
      <c r="Q477" s="2" t="n"/>
      <c r="R477" s="2" t="n">
        <v>12585</v>
      </c>
      <c r="S477" s="2" t="n">
        <v>12310</v>
      </c>
      <c r="T477" s="2" t="n">
        <v>21735</v>
      </c>
      <c r="U477" s="2" t="n">
        <v>18575</v>
      </c>
      <c r="V477" s="2" t="n">
        <v>19720</v>
      </c>
      <c r="W477" s="2" t="n">
        <v>20630</v>
      </c>
      <c r="X477" s="2" t="n">
        <v>13105</v>
      </c>
      <c r="Y477" s="2" t="n">
        <v>3635</v>
      </c>
      <c r="AA477" s="2" t="n"/>
      <c r="AB477" s="2" t="n"/>
      <c r="AC477" s="2" t="n"/>
      <c r="AD477" s="2" t="n"/>
      <c r="AE477" s="2" t="n"/>
      <c r="AF477" s="2" t="n">
        <v>92539.8</v>
      </c>
      <c r="AG477" s="2" t="n">
        <v>3218.15</v>
      </c>
    </row>
    <row r="478">
      <c r="A478" s="2" t="inlineStr">
        <is>
          <t>01/08/2025</t>
        </is>
      </c>
      <c r="B478" s="2" t="n">
        <v>109160</v>
      </c>
      <c r="C478" s="2" t="n">
        <v>1059215</v>
      </c>
      <c r="D478" s="2" t="n">
        <v>1033495</v>
      </c>
      <c r="E478" s="2" t="n">
        <v>100.41</v>
      </c>
      <c r="F478" s="2" t="n"/>
      <c r="G478" s="2" t="n"/>
      <c r="H478" s="2" t="n"/>
      <c r="I478" s="2" t="n"/>
      <c r="J478" s="2" t="n">
        <v>1498</v>
      </c>
      <c r="K478" s="2" t="n">
        <v>1458.48</v>
      </c>
      <c r="L478" s="2" t="n">
        <v>18125</v>
      </c>
      <c r="M478" s="2" t="n"/>
      <c r="N478" s="2" t="n">
        <v>9895</v>
      </c>
      <c r="O478" s="2" t="n"/>
      <c r="P478" s="2" t="n">
        <v>54.56</v>
      </c>
      <c r="Q478" s="2" t="n">
        <v>48.5</v>
      </c>
      <c r="R478" s="2" t="n">
        <v>12610</v>
      </c>
      <c r="S478" s="2" t="n">
        <v>12300</v>
      </c>
      <c r="T478" s="2" t="n">
        <v>21715</v>
      </c>
      <c r="U478" s="2" t="n">
        <v>18575</v>
      </c>
      <c r="V478" s="2" t="n">
        <v>19705</v>
      </c>
      <c r="W478" s="2" t="n">
        <v>20645</v>
      </c>
      <c r="X478" s="2" t="n">
        <v>13075</v>
      </c>
      <c r="Y478" s="2" t="n">
        <v>3610</v>
      </c>
      <c r="AA478" s="2" t="n">
        <v>212.17</v>
      </c>
      <c r="AB478" s="2" t="n">
        <v>27.32</v>
      </c>
      <c r="AC478" s="2" t="n">
        <v>69.33</v>
      </c>
      <c r="AD478" s="2" t="n">
        <v>331.7</v>
      </c>
      <c r="AE478" s="2" t="n">
        <v>195.81</v>
      </c>
      <c r="AF478" s="2" t="n">
        <v>95066.60000000001</v>
      </c>
      <c r="AG478" s="2" t="n">
        <v>3327.14</v>
      </c>
    </row>
    <row r="479">
      <c r="A479" s="2" t="inlineStr">
        <is>
          <t>01/07/2025</t>
        </is>
      </c>
      <c r="B479" s="2" t="n">
        <v>109155</v>
      </c>
      <c r="C479" s="2" t="n">
        <v>1059125</v>
      </c>
      <c r="D479" s="2" t="n">
        <v>1033405</v>
      </c>
      <c r="E479" s="2" t="n">
        <v>100.39</v>
      </c>
      <c r="F479" s="2" t="n"/>
      <c r="G479" s="2" t="n"/>
      <c r="H479" s="2" t="n"/>
      <c r="I479" s="2" t="n"/>
      <c r="J479" s="2" t="n">
        <v>1494</v>
      </c>
      <c r="K479" s="2" t="n">
        <v>1453.11</v>
      </c>
      <c r="L479" s="2" t="n">
        <v>18095</v>
      </c>
      <c r="M479" s="2" t="n"/>
      <c r="N479" s="2" t="n">
        <v>9995</v>
      </c>
      <c r="O479" s="2" t="n"/>
      <c r="P479" s="2" t="n">
        <v>54.48</v>
      </c>
      <c r="Q479" s="2" t="n">
        <v>48.45</v>
      </c>
      <c r="R479" s="2" t="n">
        <v>12645</v>
      </c>
      <c r="S479" s="2" t="n">
        <v>12260</v>
      </c>
      <c r="T479" s="2" t="n">
        <v>21850</v>
      </c>
      <c r="U479" s="2" t="n">
        <v>18390</v>
      </c>
      <c r="V479" s="2" t="n">
        <v>19825</v>
      </c>
      <c r="W479" s="2" t="n">
        <v>20895</v>
      </c>
      <c r="X479" s="2" t="n">
        <v>13100</v>
      </c>
      <c r="Y479" s="2" t="n">
        <v>3605</v>
      </c>
      <c r="AA479" s="2" t="n">
        <v>212.09</v>
      </c>
      <c r="AB479" s="2" t="n">
        <v>27.26</v>
      </c>
      <c r="AC479" s="2" t="n">
        <v>69.27</v>
      </c>
      <c r="AD479" s="2" t="n">
        <v>341.42</v>
      </c>
      <c r="AE479" s="2" t="n">
        <v>195.21</v>
      </c>
      <c r="AF479" s="2" t="n">
        <v>96929.8</v>
      </c>
      <c r="AG479" s="2" t="n">
        <v>3380.56</v>
      </c>
    </row>
    <row r="480">
      <c r="A480" s="2" t="inlineStr">
        <is>
          <t>01/06/2025</t>
        </is>
      </c>
      <c r="B480" s="2" t="n">
        <v>109150</v>
      </c>
      <c r="C480" s="2" t="n">
        <v>1059035</v>
      </c>
      <c r="D480" s="2" t="n">
        <v>1033315</v>
      </c>
      <c r="E480" s="2" t="n">
        <v>100.37</v>
      </c>
      <c r="F480" s="2" t="n"/>
      <c r="G480" s="2" t="n"/>
      <c r="H480" s="2" t="n"/>
      <c r="I480" s="2" t="n"/>
      <c r="J480" s="2" t="n">
        <v>1469</v>
      </c>
      <c r="K480" s="2" t="n">
        <v>1461.08</v>
      </c>
      <c r="L480" s="2" t="n">
        <v>18295</v>
      </c>
      <c r="M480" s="2" t="n"/>
      <c r="N480" s="2" t="n">
        <v>10130</v>
      </c>
      <c r="O480" s="2" t="n"/>
      <c r="P480" s="2" t="n">
        <v>55.05</v>
      </c>
      <c r="Q480" s="2" t="n">
        <v>48.45</v>
      </c>
      <c r="R480" s="2" t="n">
        <v>12825</v>
      </c>
      <c r="S480" s="2" t="n">
        <v>12235</v>
      </c>
      <c r="T480" s="2" t="n">
        <v>22000</v>
      </c>
      <c r="U480" s="2" t="n">
        <v>18360</v>
      </c>
      <c r="V480" s="2" t="n">
        <v>19955</v>
      </c>
      <c r="W480" s="2" t="n">
        <v>20960</v>
      </c>
      <c r="X480" s="2" t="n">
        <v>13210</v>
      </c>
      <c r="Y480" s="2" t="n">
        <v>3640</v>
      </c>
      <c r="AA480" s="2" t="n">
        <v>215.93</v>
      </c>
      <c r="AB480" s="2" t="n">
        <v>27.27</v>
      </c>
      <c r="AC480" s="2" t="n">
        <v>70.03</v>
      </c>
      <c r="AD480" s="2" t="n">
        <v>379.09</v>
      </c>
      <c r="AE480" s="2" t="n">
        <v>195.89</v>
      </c>
      <c r="AF480" s="2" t="n">
        <v>102248.7</v>
      </c>
      <c r="AG480" s="2" t="n">
        <v>3687.75</v>
      </c>
    </row>
    <row r="481">
      <c r="A481" s="2" t="inlineStr">
        <is>
          <t>01/05/2025</t>
        </is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>
        <v>1473</v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AA481" s="2" t="n"/>
      <c r="AB481" s="2" t="n"/>
      <c r="AC481" s="2" t="n"/>
      <c r="AD481" s="2" t="n"/>
      <c r="AE481" s="2" t="n"/>
      <c r="AF481" s="2" t="n">
        <v>98347.7</v>
      </c>
      <c r="AG481" s="2" t="n">
        <v>3635.11</v>
      </c>
    </row>
    <row r="482">
      <c r="A482" s="2" t="inlineStr">
        <is>
          <t>01/04/2025</t>
        </is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>
        <v>1474</v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AA482" s="2" t="n"/>
      <c r="AB482" s="2" t="n"/>
      <c r="AC482" s="2" t="n"/>
      <c r="AD482" s="2" t="n"/>
      <c r="AE482" s="2" t="n"/>
      <c r="AF482" s="2" t="n">
        <v>98219.89999999999</v>
      </c>
      <c r="AG482" s="2" t="n">
        <v>3656.13</v>
      </c>
    </row>
    <row r="483">
      <c r="A483" s="2" t="inlineStr">
        <is>
          <t>01/03/2025</t>
        </is>
      </c>
      <c r="B483" s="2" t="n">
        <v>109140</v>
      </c>
      <c r="C483" s="2" t="n">
        <v>1058960</v>
      </c>
      <c r="D483" s="2" t="n">
        <v>1033230</v>
      </c>
      <c r="E483" s="2" t="n">
        <v>100.37</v>
      </c>
      <c r="F483" s="2" t="n"/>
      <c r="G483" s="2" t="n"/>
      <c r="H483" s="2" t="n"/>
      <c r="I483" s="2" t="n"/>
      <c r="J483" s="2" t="n">
        <v>1474</v>
      </c>
      <c r="K483" s="2" t="n">
        <v>1468.37</v>
      </c>
      <c r="L483" s="2" t="n">
        <v>18305</v>
      </c>
      <c r="M483" s="2" t="n"/>
      <c r="N483" s="2" t="n">
        <v>10220</v>
      </c>
      <c r="O483" s="2" t="n"/>
      <c r="P483" s="2" t="n">
        <v>55.25</v>
      </c>
      <c r="Q483" s="2" t="n">
        <v>48.43</v>
      </c>
      <c r="R483" s="2" t="n">
        <v>12635</v>
      </c>
      <c r="S483" s="2" t="n">
        <v>12045</v>
      </c>
      <c r="T483" s="2" t="n">
        <v>21755</v>
      </c>
      <c r="U483" s="2" t="n">
        <v>17980</v>
      </c>
      <c r="V483" s="2" t="n">
        <v>19710</v>
      </c>
      <c r="W483" s="2" t="n">
        <v>20630</v>
      </c>
      <c r="X483" s="2" t="n">
        <v>13170</v>
      </c>
      <c r="Y483" s="2" t="n">
        <v>3540</v>
      </c>
      <c r="AA483" s="2" t="n">
        <v>213.46</v>
      </c>
      <c r="AB483" s="2" t="n">
        <v>27.44</v>
      </c>
      <c r="AC483" s="2" t="n">
        <v>69.63</v>
      </c>
      <c r="AD483" s="2" t="n">
        <v>339.66</v>
      </c>
      <c r="AE483" s="2" t="n">
        <v>196.17</v>
      </c>
      <c r="AF483" s="2" t="n">
        <v>98167.5</v>
      </c>
      <c r="AG483" s="2" t="n">
        <v>3608.79</v>
      </c>
    </row>
    <row r="484">
      <c r="A484" s="2" t="inlineStr">
        <is>
          <t>01/02/2025</t>
        </is>
      </c>
      <c r="B484" s="2" t="n">
        <v>109115</v>
      </c>
      <c r="C484" s="2" t="n">
        <v>1058860</v>
      </c>
      <c r="D484" s="2" t="n">
        <v>1033135</v>
      </c>
      <c r="E484" s="2" t="n">
        <v>100.34</v>
      </c>
      <c r="F484" s="2" t="n"/>
      <c r="G484" s="2" t="n"/>
      <c r="H484" s="2" t="n"/>
      <c r="I484" s="2" t="n"/>
      <c r="J484" s="2" t="n">
        <v>1484</v>
      </c>
      <c r="K484" s="2" t="n">
        <v>1469.77</v>
      </c>
      <c r="L484" s="2" t="n">
        <v>18310</v>
      </c>
      <c r="M484" s="2" t="n"/>
      <c r="N484" s="2" t="n">
        <v>10165</v>
      </c>
      <c r="O484" s="2" t="n"/>
      <c r="P484" s="2" t="n">
        <v>55.41</v>
      </c>
      <c r="Q484" s="2" t="n">
        <v>48.45</v>
      </c>
      <c r="R484" s="2" t="n">
        <v>12740</v>
      </c>
      <c r="S484" s="2" t="n">
        <v>11605</v>
      </c>
      <c r="T484" s="2" t="n">
        <v>21850</v>
      </c>
      <c r="U484" s="2" t="n">
        <v>17630</v>
      </c>
      <c r="V484" s="2" t="n">
        <v>19830</v>
      </c>
      <c r="W484" s="2" t="n">
        <v>20740</v>
      </c>
      <c r="X484" s="2" t="n">
        <v>13170</v>
      </c>
      <c r="Y484" s="2" t="n">
        <v>3500</v>
      </c>
      <c r="AA484" s="2" t="n">
        <v>210.05</v>
      </c>
      <c r="AB484" s="2" t="n">
        <v>27.26</v>
      </c>
      <c r="AC484" s="2" t="n">
        <v>68.77</v>
      </c>
      <c r="AD484" s="2" t="n">
        <v>300.01</v>
      </c>
      <c r="AE484" s="2" t="n">
        <v>194.89</v>
      </c>
      <c r="AF484" s="2" t="n">
        <v>96960</v>
      </c>
      <c r="AG484" s="2" t="n">
        <v>3455.19</v>
      </c>
    </row>
    <row r="485">
      <c r="A485" s="2" t="inlineStr">
        <is>
          <t>01/01/2025</t>
        </is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>
        <v>1493</v>
      </c>
      <c r="K485" s="2" t="n">
        <v>1476.78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AA485" s="2" t="n"/>
      <c r="AB485" s="2" t="n"/>
      <c r="AC485" s="2" t="n"/>
      <c r="AD485" s="2" t="n"/>
      <c r="AE485" s="2" t="n"/>
      <c r="AF485" s="2" t="n">
        <v>94560.2</v>
      </c>
      <c r="AG485" s="2" t="n">
        <v>3360.14</v>
      </c>
    </row>
  </sheetData>
  <autoFilter ref="A1:A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14" customWidth="1" min="1" max="31"/>
  </cols>
  <sheetData>
    <row r="1" ht="20" customHeight="1">
      <c r="A1" s="1" t="inlineStr">
        <is>
          <t>Date</t>
        </is>
      </c>
      <c r="B1" s="1" t="inlineStr">
        <is>
          <t>423160</t>
        </is>
      </c>
      <c r="C1" s="1" t="inlineStr">
        <is>
          <t>459580</t>
        </is>
      </c>
      <c r="D1" s="1" t="inlineStr">
        <is>
          <t>475630</t>
        </is>
      </c>
      <c r="E1" s="1" t="inlineStr">
        <is>
          <t>SGOV</t>
        </is>
      </c>
      <c r="F1" s="1" t="inlineStr">
        <is>
          <t>Strategy Prf</t>
        </is>
      </c>
      <c r="G1" s="1" t="inlineStr">
        <is>
          <t>Strategy Prf A</t>
        </is>
      </c>
      <c r="H1" s="1" t="inlineStr">
        <is>
          <t>Strategy Prf D</t>
        </is>
      </c>
      <c r="I1" s="1" t="inlineStr">
        <is>
          <t>Strategy Prf F</t>
        </is>
      </c>
      <c r="J1" s="1" t="inlineStr">
        <is>
          <t>USDT_KRW Upbit</t>
        </is>
      </c>
      <c r="K1" s="1" t="inlineStr">
        <is>
          <t>411060</t>
        </is>
      </c>
      <c r="L1" s="1" t="inlineStr">
        <is>
          <t>0085P0</t>
        </is>
      </c>
      <c r="M1" s="1" t="inlineStr">
        <is>
          <t>476760</t>
        </is>
      </c>
      <c r="N1" s="1" t="inlineStr">
        <is>
          <t>VGIT</t>
        </is>
      </c>
      <c r="O1" s="1" t="inlineStr">
        <is>
          <t>VGLT</t>
        </is>
      </c>
      <c r="P1" s="1" t="inlineStr">
        <is>
          <t>VTIP</t>
        </is>
      </c>
      <c r="Q1" s="1" t="inlineStr">
        <is>
          <t>182480</t>
        </is>
      </c>
      <c r="R1" s="1" t="inlineStr">
        <is>
          <t>232080</t>
        </is>
      </c>
      <c r="S1" s="1" t="inlineStr">
        <is>
          <t>360200</t>
        </is>
      </c>
      <c r="T1" s="1" t="inlineStr">
        <is>
          <t>361580</t>
        </is>
      </c>
      <c r="U1" s="1" t="inlineStr">
        <is>
          <t>379800</t>
        </is>
      </c>
      <c r="V1" s="1" t="inlineStr">
        <is>
          <t>379810</t>
        </is>
      </c>
      <c r="W1" s="1" t="inlineStr">
        <is>
          <t>438080</t>
        </is>
      </c>
      <c r="X1" s="1" t="inlineStr">
        <is>
          <t>UB Care</t>
        </is>
      </c>
      <c r="Y1" s="1" t="inlineStr">
        <is>
          <t>0163Y0</t>
        </is>
      </c>
      <c r="Z1" s="1" t="inlineStr">
        <is>
          <t>QQQM</t>
        </is>
      </c>
      <c r="AA1" s="1" t="inlineStr">
        <is>
          <t>SCHD</t>
        </is>
      </c>
      <c r="AB1" s="1" t="inlineStr">
        <is>
          <t>SPYM</t>
        </is>
      </c>
      <c r="AC1" s="1" t="inlineStr">
        <is>
          <t>Strategy</t>
        </is>
      </c>
      <c r="AD1" s="1" t="inlineStr">
        <is>
          <t>VIG</t>
        </is>
      </c>
      <c r="AE1" s="1" t="inlineStr">
        <is>
          <t>Bitcoin</t>
        </is>
      </c>
      <c r="AF1" s="1" t="inlineStr">
        <is>
          <t>Ethereum</t>
        </is>
      </c>
    </row>
    <row r="2" ht="16" customHeight="1">
      <c r="A2" t="inlineStr">
        <is>
          <t>04/29/2026</t>
        </is>
      </c>
      <c r="B2" t="n">
        <v>87650</v>
      </c>
      <c r="C2" t="n">
        <v>257082</v>
      </c>
      <c r="D2" t="n">
        <v>16083</v>
      </c>
      <c r="E2" t="n">
        <v>13143600</v>
      </c>
      <c r="J2" t="n">
        <v>45604205.1385895</v>
      </c>
      <c r="K2" t="n">
        <v>1665518</v>
      </c>
      <c r="L2" t="n">
        <v>304673</v>
      </c>
      <c r="M2" t="n">
        <v>304305</v>
      </c>
      <c r="N2" t="n">
        <v>2391000</v>
      </c>
      <c r="O2" t="n">
        <v>1617900</v>
      </c>
      <c r="P2" t="n">
        <v>3982300</v>
      </c>
      <c r="Q2" t="n">
        <v>15248</v>
      </c>
      <c r="R2" t="n">
        <v>3648332</v>
      </c>
      <c r="S2" t="n">
        <v>343926</v>
      </c>
      <c r="T2" t="n">
        <v>111115</v>
      </c>
      <c r="U2" t="n">
        <v>9703852</v>
      </c>
      <c r="V2" t="n">
        <v>2222476</v>
      </c>
      <c r="W2" t="n">
        <v>436832</v>
      </c>
      <c r="X2" t="n">
        <v>130714</v>
      </c>
      <c r="Y2" t="n">
        <v>1698407</v>
      </c>
      <c r="Z2" t="n">
        <v>2783900</v>
      </c>
      <c r="AA2" t="n">
        <v>15827500</v>
      </c>
      <c r="AB2" t="n">
        <v>5970700</v>
      </c>
      <c r="AC2" t="n">
        <v>13758700</v>
      </c>
      <c r="AD2" t="n">
        <v>634000</v>
      </c>
      <c r="AE2" t="n">
        <v>33763131392</v>
      </c>
      <c r="AF2" t="n">
        <v>14832651264</v>
      </c>
    </row>
    <row r="3" ht="16" customHeight="1">
      <c r="A3" t="inlineStr">
        <is>
          <t>04/28/2026</t>
        </is>
      </c>
      <c r="B3" t="n">
        <v>105848</v>
      </c>
      <c r="C3" t="n">
        <v>321112</v>
      </c>
      <c r="D3" t="n">
        <v>21151</v>
      </c>
      <c r="E3" t="n">
        <v>14179800</v>
      </c>
      <c r="J3" t="n">
        <v>64463314.24156568</v>
      </c>
      <c r="K3" t="n">
        <v>2101445</v>
      </c>
      <c r="L3" t="n">
        <v>168641</v>
      </c>
      <c r="M3" t="n">
        <v>437432</v>
      </c>
      <c r="N3" t="n">
        <v>3622500</v>
      </c>
      <c r="O3" t="n">
        <v>1278900</v>
      </c>
      <c r="P3" t="n">
        <v>2134200</v>
      </c>
      <c r="Q3" t="n">
        <v>23261</v>
      </c>
      <c r="R3" t="n">
        <v>3033109</v>
      </c>
      <c r="S3" t="n">
        <v>392630</v>
      </c>
      <c r="T3" t="n">
        <v>58228</v>
      </c>
      <c r="U3" t="n">
        <v>9004712</v>
      </c>
      <c r="V3" t="n">
        <v>3539018</v>
      </c>
      <c r="W3" t="n">
        <v>502936</v>
      </c>
      <c r="X3" t="n">
        <v>149183</v>
      </c>
      <c r="Y3" t="n">
        <v>2348434</v>
      </c>
      <c r="Z3" t="n">
        <v>2548900</v>
      </c>
      <c r="AA3" t="n">
        <v>19412400</v>
      </c>
      <c r="AB3" t="n">
        <v>6702000</v>
      </c>
      <c r="AC3" t="n">
        <v>13192100</v>
      </c>
      <c r="AD3" t="n">
        <v>980400</v>
      </c>
      <c r="AE3" t="n">
        <v>32246755328</v>
      </c>
      <c r="AF3" t="n">
        <v>14489027584</v>
      </c>
    </row>
    <row r="4" ht="16" customHeight="1">
      <c r="A4" t="inlineStr">
        <is>
          <t>04/27/2026</t>
        </is>
      </c>
      <c r="B4" t="n">
        <v>418317</v>
      </c>
      <c r="C4" t="n">
        <v>342422</v>
      </c>
      <c r="D4" t="n">
        <v>24783</v>
      </c>
      <c r="E4" t="n">
        <v>16619600</v>
      </c>
      <c r="J4" t="n">
        <v>53239989.60446143</v>
      </c>
      <c r="K4" t="n">
        <v>1926980</v>
      </c>
      <c r="L4" t="n">
        <v>173383</v>
      </c>
      <c r="M4" t="n">
        <v>613021</v>
      </c>
      <c r="N4" t="n">
        <v>5077000</v>
      </c>
      <c r="O4" t="n">
        <v>1015500</v>
      </c>
      <c r="P4" t="n">
        <v>1830200</v>
      </c>
      <c r="Q4" t="n">
        <v>27815</v>
      </c>
      <c r="R4" t="n">
        <v>4700103</v>
      </c>
      <c r="S4" t="n">
        <v>620765</v>
      </c>
      <c r="T4" t="n">
        <v>173831</v>
      </c>
      <c r="U4" t="n">
        <v>12779883</v>
      </c>
      <c r="V4" t="n">
        <v>4452083</v>
      </c>
      <c r="W4" t="n">
        <v>674109</v>
      </c>
      <c r="X4" t="n">
        <v>196621</v>
      </c>
      <c r="Y4" t="n">
        <v>3376301</v>
      </c>
      <c r="Z4" t="n">
        <v>4119500</v>
      </c>
      <c r="AA4" t="n">
        <v>19277400</v>
      </c>
      <c r="AB4" t="n">
        <v>7849600</v>
      </c>
      <c r="AC4" t="n">
        <v>14066300</v>
      </c>
      <c r="AD4" t="n">
        <v>856400</v>
      </c>
      <c r="AE4" t="n">
        <v>29738954752</v>
      </c>
      <c r="AF4" t="n">
        <v>14676025344</v>
      </c>
    </row>
    <row r="5" ht="16" customHeight="1">
      <c r="A5" t="inlineStr">
        <is>
          <t>04/26/2026</t>
        </is>
      </c>
      <c r="E5" t="n">
        <v>16619600</v>
      </c>
      <c r="J5" t="n">
        <v>47830344.02181637</v>
      </c>
      <c r="N5" t="n">
        <v>5077000</v>
      </c>
      <c r="O5" t="n">
        <v>1015500</v>
      </c>
      <c r="P5" t="n">
        <v>1830200</v>
      </c>
      <c r="Z5" t="n">
        <v>4119500</v>
      </c>
      <c r="AA5" t="n">
        <v>19277400</v>
      </c>
      <c r="AB5" t="n">
        <v>7849600</v>
      </c>
      <c r="AC5" t="n">
        <v>14066300</v>
      </c>
      <c r="AD5" t="n">
        <v>856400</v>
      </c>
      <c r="AE5" t="n">
        <v>16415970304</v>
      </c>
      <c r="AF5" t="n">
        <v>7258625024</v>
      </c>
    </row>
    <row r="6" ht="16" customHeight="1">
      <c r="A6" t="inlineStr">
        <is>
          <t>04/25/2026</t>
        </is>
      </c>
      <c r="E6" t="n">
        <v>16619600</v>
      </c>
      <c r="J6" t="n">
        <v>48244530.90231318</v>
      </c>
      <c r="N6" t="n">
        <v>5077000</v>
      </c>
      <c r="O6" t="n">
        <v>1015500</v>
      </c>
      <c r="P6" t="n">
        <v>1830200</v>
      </c>
      <c r="Z6" t="n">
        <v>4119500</v>
      </c>
      <c r="AA6" t="n">
        <v>19277400</v>
      </c>
      <c r="AB6" t="n">
        <v>7849600</v>
      </c>
      <c r="AC6" t="n">
        <v>14066300</v>
      </c>
      <c r="AD6" t="n">
        <v>856400</v>
      </c>
      <c r="AE6" t="n">
        <v>30157539328</v>
      </c>
      <c r="AF6" t="n">
        <v>11489953792</v>
      </c>
    </row>
    <row r="7" ht="16" customHeight="1">
      <c r="A7" t="inlineStr">
        <is>
          <t>04/24/2026</t>
        </is>
      </c>
      <c r="B7" t="n">
        <v>394758</v>
      </c>
      <c r="C7" t="n">
        <v>299992</v>
      </c>
      <c r="D7" t="n">
        <v>15725</v>
      </c>
      <c r="E7" t="n">
        <v>14468700</v>
      </c>
      <c r="J7" t="n">
        <v>53905482.79413321</v>
      </c>
      <c r="K7" t="n">
        <v>1629066</v>
      </c>
      <c r="L7" t="n">
        <v>184241</v>
      </c>
      <c r="M7" t="n">
        <v>311262</v>
      </c>
      <c r="N7" t="n">
        <v>2356700</v>
      </c>
      <c r="O7" t="n">
        <v>1594600</v>
      </c>
      <c r="P7" t="n">
        <v>2834200</v>
      </c>
      <c r="Q7" t="n">
        <v>30647</v>
      </c>
      <c r="R7" t="n">
        <v>4209409</v>
      </c>
      <c r="S7" t="n">
        <v>404098</v>
      </c>
      <c r="T7" t="n">
        <v>35603</v>
      </c>
      <c r="U7" t="n">
        <v>14704551</v>
      </c>
      <c r="V7" t="n">
        <v>4285361</v>
      </c>
      <c r="W7" t="n">
        <v>564310</v>
      </c>
      <c r="X7" t="n">
        <v>123626</v>
      </c>
      <c r="Y7" t="n">
        <v>2667686</v>
      </c>
      <c r="Z7" t="n">
        <v>4085800</v>
      </c>
      <c r="AA7" t="n">
        <v>16770500</v>
      </c>
      <c r="AB7" t="n">
        <v>11433700</v>
      </c>
      <c r="AC7" t="n">
        <v>19446300</v>
      </c>
      <c r="AD7" t="n">
        <v>1021200</v>
      </c>
      <c r="AE7" t="n">
        <v>37218836480</v>
      </c>
      <c r="AF7" t="n">
        <v>17283524608</v>
      </c>
    </row>
    <row r="8" ht="16" customHeight="1">
      <c r="A8" t="inlineStr">
        <is>
          <t>04/23/2026</t>
        </is>
      </c>
      <c r="B8" t="n">
        <v>443981</v>
      </c>
      <c r="C8" t="n">
        <v>264942</v>
      </c>
      <c r="D8" t="n">
        <v>17197</v>
      </c>
      <c r="E8" t="n">
        <v>1962552</v>
      </c>
      <c r="J8" t="n">
        <v>68385864.44805892</v>
      </c>
      <c r="K8" t="n">
        <v>1740322</v>
      </c>
      <c r="L8" t="n">
        <v>241501</v>
      </c>
      <c r="M8" t="n">
        <v>315598</v>
      </c>
      <c r="N8" t="n">
        <v>334635</v>
      </c>
      <c r="O8" t="n">
        <v>161160</v>
      </c>
      <c r="P8" t="n">
        <v>89320</v>
      </c>
      <c r="Q8" t="n">
        <v>15687</v>
      </c>
      <c r="R8" t="n">
        <v>4013734</v>
      </c>
      <c r="S8" t="n">
        <v>494936</v>
      </c>
      <c r="T8" t="n">
        <v>92498</v>
      </c>
      <c r="U8" t="n">
        <v>18369145</v>
      </c>
      <c r="V8" t="n">
        <v>7722667</v>
      </c>
      <c r="W8" t="n">
        <v>470304</v>
      </c>
      <c r="X8" t="n">
        <v>114126</v>
      </c>
      <c r="Y8" t="n">
        <v>3292221</v>
      </c>
      <c r="Z8" t="n">
        <v>498663</v>
      </c>
      <c r="AA8" t="n">
        <v>2487599</v>
      </c>
      <c r="AB8" t="n">
        <v>1100430</v>
      </c>
      <c r="AC8" t="n">
        <v>2389321</v>
      </c>
      <c r="AD8" t="n">
        <v>52811</v>
      </c>
      <c r="AE8" t="n">
        <v>42982682624</v>
      </c>
      <c r="AF8" t="n">
        <v>20749443072</v>
      </c>
    </row>
    <row r="9" ht="16" customHeight="1">
      <c r="A9" t="inlineStr">
        <is>
          <t>04/22/2026</t>
        </is>
      </c>
      <c r="B9" t="n">
        <v>380692</v>
      </c>
      <c r="C9" t="n">
        <v>246722</v>
      </c>
      <c r="D9" t="n">
        <v>23243</v>
      </c>
      <c r="E9" t="n">
        <v>13857000</v>
      </c>
      <c r="J9" t="n">
        <v>67238990.4169703</v>
      </c>
      <c r="K9" t="n">
        <v>1376002</v>
      </c>
      <c r="L9" t="n">
        <v>118839</v>
      </c>
      <c r="M9" t="n">
        <v>278044</v>
      </c>
      <c r="N9" t="n">
        <v>2088300</v>
      </c>
      <c r="O9" t="n">
        <v>1171700</v>
      </c>
      <c r="P9" t="n">
        <v>1381900</v>
      </c>
      <c r="Q9" t="n">
        <v>22778</v>
      </c>
      <c r="R9" t="n">
        <v>3094879</v>
      </c>
      <c r="S9" t="n">
        <v>491281</v>
      </c>
      <c r="T9" t="n">
        <v>39788</v>
      </c>
      <c r="U9" t="n">
        <v>12639685</v>
      </c>
      <c r="V9" t="n">
        <v>4340335</v>
      </c>
      <c r="W9" t="n">
        <v>458644</v>
      </c>
      <c r="X9" t="n">
        <v>194309</v>
      </c>
      <c r="Y9" t="n">
        <v>2375811</v>
      </c>
      <c r="Z9" t="n">
        <v>3184200</v>
      </c>
      <c r="AA9" t="n">
        <v>17862400</v>
      </c>
      <c r="AB9" t="n">
        <v>11091400</v>
      </c>
      <c r="AC9" t="n">
        <v>22007800</v>
      </c>
      <c r="AD9" t="n">
        <v>811100</v>
      </c>
      <c r="AE9" t="n">
        <v>43896451072</v>
      </c>
      <c r="AF9" t="n">
        <v>20925952000</v>
      </c>
    </row>
    <row r="10" ht="16" customHeight="1">
      <c r="A10" t="inlineStr">
        <is>
          <t>04/21/2026</t>
        </is>
      </c>
      <c r="B10" t="n">
        <v>376041</v>
      </c>
      <c r="C10" t="n">
        <v>240379</v>
      </c>
      <c r="D10" t="n">
        <v>20142</v>
      </c>
      <c r="E10" t="n">
        <v>19015500</v>
      </c>
      <c r="J10" t="n">
        <v>52139584.20841075</v>
      </c>
      <c r="K10" t="n">
        <v>1276117</v>
      </c>
      <c r="L10" t="n">
        <v>121819</v>
      </c>
      <c r="M10" t="n">
        <v>187222</v>
      </c>
      <c r="N10" t="n">
        <v>1798800</v>
      </c>
      <c r="O10" t="n">
        <v>1001100</v>
      </c>
      <c r="P10" t="n">
        <v>1779800</v>
      </c>
      <c r="Q10" t="n">
        <v>25945</v>
      </c>
      <c r="R10" t="n">
        <v>3391175</v>
      </c>
      <c r="S10" t="n">
        <v>456992</v>
      </c>
      <c r="T10" t="n">
        <v>41383</v>
      </c>
      <c r="U10" t="n">
        <v>15872798</v>
      </c>
      <c r="V10" t="n">
        <v>4677901</v>
      </c>
      <c r="W10" t="n">
        <v>510979</v>
      </c>
      <c r="X10" t="n">
        <v>207423</v>
      </c>
      <c r="Y10" t="n">
        <v>2703020</v>
      </c>
      <c r="Z10" t="n">
        <v>2844200</v>
      </c>
      <c r="AA10" t="n">
        <v>17212100</v>
      </c>
      <c r="AB10" t="n">
        <v>10754000</v>
      </c>
      <c r="AC10" t="n">
        <v>22067200</v>
      </c>
      <c r="AD10" t="n">
        <v>1146400</v>
      </c>
      <c r="AE10" t="n">
        <v>37588004864</v>
      </c>
      <c r="AF10" t="n">
        <v>18054975488</v>
      </c>
    </row>
    <row r="11" ht="16" customHeight="1">
      <c r="A11" t="inlineStr">
        <is>
          <t>04/20/2026</t>
        </is>
      </c>
      <c r="B11" t="n">
        <v>368799</v>
      </c>
      <c r="C11" t="n">
        <v>253727</v>
      </c>
      <c r="D11" t="n">
        <v>19383</v>
      </c>
      <c r="E11" t="n">
        <v>20507900</v>
      </c>
      <c r="J11" t="n">
        <v>71453328.38968614</v>
      </c>
      <c r="K11" t="n">
        <v>1369852</v>
      </c>
      <c r="L11" t="n">
        <v>193454</v>
      </c>
      <c r="M11" t="n">
        <v>258547</v>
      </c>
      <c r="N11" t="n">
        <v>2077700</v>
      </c>
      <c r="O11" t="n">
        <v>1501100</v>
      </c>
      <c r="P11" t="n">
        <v>1869100</v>
      </c>
      <c r="Q11" t="n">
        <v>22508</v>
      </c>
      <c r="R11" t="n">
        <v>2682619</v>
      </c>
      <c r="S11" t="n">
        <v>779573</v>
      </c>
      <c r="T11" t="n">
        <v>161181</v>
      </c>
      <c r="U11" t="n">
        <v>16131404</v>
      </c>
      <c r="V11" t="n">
        <v>4702526</v>
      </c>
      <c r="W11" t="n">
        <v>559298</v>
      </c>
      <c r="X11" t="n">
        <v>290627</v>
      </c>
      <c r="Y11" t="n">
        <v>2241902</v>
      </c>
      <c r="Z11" t="n">
        <v>3087300</v>
      </c>
      <c r="AA11" t="n">
        <v>20078900</v>
      </c>
      <c r="AB11" t="n">
        <v>10923700</v>
      </c>
      <c r="AC11" t="n">
        <v>52025900</v>
      </c>
      <c r="AD11" t="n">
        <v>1003600</v>
      </c>
      <c r="AE11" t="n">
        <v>33511088128</v>
      </c>
      <c r="AF11" t="n">
        <v>17192800256</v>
      </c>
    </row>
    <row r="12" ht="16" customHeight="1">
      <c r="A12" t="inlineStr">
        <is>
          <t>04/19/2026</t>
        </is>
      </c>
      <c r="E12" t="n">
        <v>20507900</v>
      </c>
      <c r="J12" t="n">
        <v>44755273.41287925</v>
      </c>
      <c r="N12" t="n">
        <v>2077700</v>
      </c>
      <c r="O12" t="n">
        <v>1501100</v>
      </c>
      <c r="P12" t="n">
        <v>1869100</v>
      </c>
      <c r="Z12" t="n">
        <v>3087300</v>
      </c>
      <c r="AA12" t="n">
        <v>20078900</v>
      </c>
      <c r="AB12" t="n">
        <v>10923700</v>
      </c>
      <c r="AC12" t="n">
        <v>52025900</v>
      </c>
      <c r="AD12" t="n">
        <v>1003600</v>
      </c>
      <c r="AE12" t="n">
        <v>26062688256</v>
      </c>
      <c r="AF12" t="n">
        <v>14171198464</v>
      </c>
    </row>
    <row r="13" ht="16" customHeight="1">
      <c r="A13" t="inlineStr">
        <is>
          <t>04/18/2026</t>
        </is>
      </c>
      <c r="E13" t="n">
        <v>19913441</v>
      </c>
      <c r="J13" t="n">
        <v>77986367.67200644</v>
      </c>
      <c r="N13" t="n">
        <v>2077704</v>
      </c>
      <c r="O13" t="n">
        <v>1501064</v>
      </c>
      <c r="P13" t="n">
        <v>1868158</v>
      </c>
      <c r="Z13" t="n">
        <v>3079789</v>
      </c>
      <c r="AA13" t="n">
        <v>20006357</v>
      </c>
      <c r="AB13" t="n">
        <v>10920225</v>
      </c>
      <c r="AC13" t="n">
        <v>51836230</v>
      </c>
      <c r="AD13" t="n">
        <v>1003557</v>
      </c>
      <c r="AE13" t="n">
        <v>52618678272</v>
      </c>
      <c r="AF13" t="n">
        <v>26238980096</v>
      </c>
    </row>
    <row r="14" ht="16" customHeight="1">
      <c r="A14" t="inlineStr">
        <is>
          <t>04/17/2026</t>
        </is>
      </c>
      <c r="B14" t="n">
        <v>428111</v>
      </c>
      <c r="C14" t="n">
        <v>335009</v>
      </c>
      <c r="D14" t="n">
        <v>28105</v>
      </c>
      <c r="E14" t="n">
        <v>16340900</v>
      </c>
      <c r="J14" t="n">
        <v>74107913.58898544</v>
      </c>
      <c r="K14" t="n">
        <v>1077490</v>
      </c>
      <c r="L14" t="n">
        <v>154283</v>
      </c>
      <c r="M14" t="n">
        <v>330856</v>
      </c>
      <c r="N14" t="n">
        <v>2241100</v>
      </c>
      <c r="O14" t="n">
        <v>1059400</v>
      </c>
      <c r="P14" t="n">
        <v>1547200</v>
      </c>
      <c r="Q14" t="n">
        <v>20105</v>
      </c>
      <c r="R14" t="n">
        <v>2076719</v>
      </c>
      <c r="S14" t="n">
        <v>1001911</v>
      </c>
      <c r="T14" t="n">
        <v>53821</v>
      </c>
      <c r="U14" t="n">
        <v>20001113</v>
      </c>
      <c r="V14" t="n">
        <v>3506517</v>
      </c>
      <c r="W14" t="n">
        <v>422046</v>
      </c>
      <c r="X14" t="n">
        <v>200148</v>
      </c>
      <c r="Y14" t="n">
        <v>2136798</v>
      </c>
      <c r="Z14" t="n">
        <v>2714600</v>
      </c>
      <c r="AA14" t="n">
        <v>17370900</v>
      </c>
      <c r="AB14" t="n">
        <v>9259900</v>
      </c>
      <c r="AC14" t="n">
        <v>17568600</v>
      </c>
      <c r="AD14" t="n">
        <v>819000</v>
      </c>
      <c r="AE14" t="n">
        <v>38779744256</v>
      </c>
      <c r="AF14" t="n">
        <v>20091017216</v>
      </c>
    </row>
    <row r="15" ht="16" customHeight="1">
      <c r="A15" t="inlineStr">
        <is>
          <t>04/16/2026</t>
        </is>
      </c>
      <c r="B15" t="n">
        <v>458932</v>
      </c>
      <c r="C15" t="n">
        <v>251564</v>
      </c>
      <c r="D15" t="n">
        <v>24949</v>
      </c>
      <c r="E15" t="n">
        <v>19570600</v>
      </c>
      <c r="J15" t="n">
        <v>57216588.37736429</v>
      </c>
      <c r="K15" t="n">
        <v>1503918</v>
      </c>
      <c r="L15" t="n">
        <v>145481</v>
      </c>
      <c r="M15" t="n">
        <v>246801</v>
      </c>
      <c r="N15" t="n">
        <v>1665600</v>
      </c>
      <c r="O15" t="n">
        <v>655200</v>
      </c>
      <c r="P15" t="n">
        <v>2615400</v>
      </c>
      <c r="Q15" t="n">
        <v>14478</v>
      </c>
      <c r="R15" t="n">
        <v>1887981</v>
      </c>
      <c r="S15" t="n">
        <v>1228087</v>
      </c>
      <c r="T15" t="n">
        <v>356766</v>
      </c>
      <c r="U15" t="n">
        <v>22846526</v>
      </c>
      <c r="V15" t="n">
        <v>9122672</v>
      </c>
      <c r="W15" t="n">
        <v>439013</v>
      </c>
      <c r="X15" t="n">
        <v>372166</v>
      </c>
      <c r="Y15" t="n">
        <v>2063914</v>
      </c>
      <c r="Z15" t="n">
        <v>4085800</v>
      </c>
      <c r="AA15" t="n">
        <v>18957500</v>
      </c>
      <c r="AB15" t="n">
        <v>7983800</v>
      </c>
      <c r="AC15" t="n">
        <v>13736800</v>
      </c>
      <c r="AD15" t="n">
        <v>974800</v>
      </c>
      <c r="AE15" t="n">
        <v>38480834560</v>
      </c>
      <c r="AF15" t="n">
        <v>17057978368</v>
      </c>
    </row>
    <row r="16" ht="16" customHeight="1">
      <c r="A16" t="inlineStr">
        <is>
          <t>04/15/2026</t>
        </is>
      </c>
      <c r="B16" t="n">
        <v>479529</v>
      </c>
      <c r="C16" t="n">
        <v>268663</v>
      </c>
      <c r="D16" t="n">
        <v>20473</v>
      </c>
      <c r="E16" t="n">
        <v>29760800</v>
      </c>
      <c r="J16" t="n">
        <v>76098926.36100097</v>
      </c>
      <c r="K16" t="n">
        <v>1550689</v>
      </c>
      <c r="L16" t="n">
        <v>116523</v>
      </c>
      <c r="M16" t="n">
        <v>279323</v>
      </c>
      <c r="N16" t="n">
        <v>2789600</v>
      </c>
      <c r="O16" t="n">
        <v>703900</v>
      </c>
      <c r="P16" t="n">
        <v>1653900</v>
      </c>
      <c r="Q16" t="n">
        <v>18111</v>
      </c>
      <c r="R16" t="n">
        <v>2557837</v>
      </c>
      <c r="S16" t="n">
        <v>853508</v>
      </c>
      <c r="T16" t="n">
        <v>228834</v>
      </c>
      <c r="U16" t="n">
        <v>22968179</v>
      </c>
      <c r="V16" t="n">
        <v>5516306</v>
      </c>
      <c r="W16" t="n">
        <v>486969</v>
      </c>
      <c r="X16" t="n">
        <v>263059</v>
      </c>
      <c r="Y16" t="n">
        <v>2874684</v>
      </c>
      <c r="Z16" t="n">
        <v>5655100</v>
      </c>
      <c r="AA16" t="n">
        <v>18629200</v>
      </c>
      <c r="AB16" t="n">
        <v>6486400</v>
      </c>
      <c r="AC16" t="n">
        <v>20575500</v>
      </c>
      <c r="AD16" t="n">
        <v>849700</v>
      </c>
      <c r="AE16" t="n">
        <v>50782285824</v>
      </c>
      <c r="AF16" t="n">
        <v>22665617408</v>
      </c>
    </row>
    <row r="17" ht="16" customHeight="1">
      <c r="A17" t="inlineStr">
        <is>
          <t>04/14/2026</t>
        </is>
      </c>
      <c r="B17" t="n">
        <v>467518</v>
      </c>
      <c r="C17" t="n">
        <v>342946</v>
      </c>
      <c r="D17" t="n">
        <v>30665</v>
      </c>
      <c r="E17" t="n">
        <v>20052800</v>
      </c>
      <c r="J17" t="n">
        <v>79527921.39164105</v>
      </c>
      <c r="K17" t="n">
        <v>1290798</v>
      </c>
      <c r="L17" t="n">
        <v>129718</v>
      </c>
      <c r="M17" t="n">
        <v>260079</v>
      </c>
      <c r="N17" t="n">
        <v>1798700</v>
      </c>
      <c r="O17" t="n">
        <v>1023300</v>
      </c>
      <c r="P17" t="n">
        <v>1520300</v>
      </c>
      <c r="Q17" t="n">
        <v>14084</v>
      </c>
      <c r="R17" t="n">
        <v>1802076</v>
      </c>
      <c r="S17" t="n">
        <v>416960</v>
      </c>
      <c r="T17" t="n">
        <v>209952</v>
      </c>
      <c r="U17" t="n">
        <v>13222149</v>
      </c>
      <c r="V17" t="n">
        <v>7812184</v>
      </c>
      <c r="W17" t="n">
        <v>382648</v>
      </c>
      <c r="X17" t="n">
        <v>429425</v>
      </c>
      <c r="Y17" t="n">
        <v>1833832</v>
      </c>
      <c r="Z17" t="n">
        <v>2650200</v>
      </c>
      <c r="AA17" t="n">
        <v>19365000</v>
      </c>
      <c r="AB17" t="n">
        <v>8351100</v>
      </c>
      <c r="AC17" t="n">
        <v>12370800</v>
      </c>
      <c r="AD17" t="n">
        <v>1106800</v>
      </c>
      <c r="AE17" t="n">
        <v>51496124416</v>
      </c>
      <c r="AF17" t="n">
        <v>26388662272</v>
      </c>
    </row>
    <row r="18" ht="16" customHeight="1">
      <c r="A18" t="inlineStr">
        <is>
          <t>04/13/2026</t>
        </is>
      </c>
      <c r="B18" t="n">
        <v>377677</v>
      </c>
      <c r="C18" t="n">
        <v>408260</v>
      </c>
      <c r="D18" t="n">
        <v>24640</v>
      </c>
      <c r="E18" t="n">
        <v>18632500</v>
      </c>
      <c r="J18" t="n">
        <v>35553200.96700593</v>
      </c>
      <c r="K18" t="n">
        <v>931627</v>
      </c>
      <c r="L18" t="n">
        <v>154707</v>
      </c>
      <c r="M18" t="n">
        <v>193381</v>
      </c>
      <c r="N18" t="n">
        <v>2069200</v>
      </c>
      <c r="O18" t="n">
        <v>1196000</v>
      </c>
      <c r="P18" t="n">
        <v>1368500</v>
      </c>
      <c r="Q18" t="n">
        <v>15031</v>
      </c>
      <c r="R18" t="n">
        <v>1679468</v>
      </c>
      <c r="S18" t="n">
        <v>818819</v>
      </c>
      <c r="T18" t="n">
        <v>62515</v>
      </c>
      <c r="U18" t="n">
        <v>17644166</v>
      </c>
      <c r="V18" t="n">
        <v>11635233</v>
      </c>
      <c r="W18" t="n">
        <v>378322</v>
      </c>
      <c r="X18" t="n">
        <v>323472</v>
      </c>
      <c r="Y18" t="n">
        <v>1743546</v>
      </c>
      <c r="Z18" t="n">
        <v>2152400</v>
      </c>
      <c r="AA18" t="n">
        <v>19600500</v>
      </c>
      <c r="AB18" t="n">
        <v>10499600</v>
      </c>
      <c r="AC18" t="n">
        <v>13056400</v>
      </c>
      <c r="AD18" t="n">
        <v>775300</v>
      </c>
      <c r="AE18" t="n">
        <v>31244175360</v>
      </c>
      <c r="AF18" t="n">
        <v>12960235520</v>
      </c>
    </row>
    <row r="19" ht="16" customHeight="1">
      <c r="A19" t="inlineStr">
        <is>
          <t>04/12/2026</t>
        </is>
      </c>
      <c r="E19" t="n">
        <v>18632500</v>
      </c>
      <c r="J19" t="n">
        <v>36343255.26262239</v>
      </c>
      <c r="N19" t="n">
        <v>2069200</v>
      </c>
      <c r="O19" t="n">
        <v>1196000</v>
      </c>
      <c r="P19" t="n">
        <v>1368500</v>
      </c>
      <c r="Z19" t="n">
        <v>2152400</v>
      </c>
      <c r="AA19" t="n">
        <v>19600500</v>
      </c>
      <c r="AB19" t="n">
        <v>10499600</v>
      </c>
      <c r="AC19" t="n">
        <v>13056400</v>
      </c>
      <c r="AD19" t="n">
        <v>775300</v>
      </c>
      <c r="AE19" t="n">
        <v>26668367872</v>
      </c>
      <c r="AF19" t="n">
        <v>15391669248</v>
      </c>
    </row>
    <row r="20" ht="16" customHeight="1">
      <c r="A20" t="inlineStr">
        <is>
          <t>04/11/2026</t>
        </is>
      </c>
      <c r="E20" t="n">
        <v>18632500</v>
      </c>
      <c r="J20" t="n">
        <v>40046513.67938227</v>
      </c>
      <c r="N20" t="n">
        <v>2069200</v>
      </c>
      <c r="O20" t="n">
        <v>1196000</v>
      </c>
      <c r="P20" t="n">
        <v>1368500</v>
      </c>
      <c r="Z20" t="n">
        <v>2152400</v>
      </c>
      <c r="AA20" t="n">
        <v>19600500</v>
      </c>
      <c r="AB20" t="n">
        <v>10499600</v>
      </c>
      <c r="AC20" t="n">
        <v>13056400</v>
      </c>
      <c r="AD20" t="n">
        <v>775300</v>
      </c>
      <c r="AE20" t="n">
        <v>35748843520</v>
      </c>
      <c r="AF20" t="n">
        <v>15758045184</v>
      </c>
    </row>
    <row r="21" ht="16" customHeight="1">
      <c r="A21" t="inlineStr">
        <is>
          <t>04/10/2026</t>
        </is>
      </c>
      <c r="B21" t="n">
        <v>388472</v>
      </c>
      <c r="C21" t="n">
        <v>281526</v>
      </c>
      <c r="D21" t="n">
        <v>20225</v>
      </c>
      <c r="E21" t="n">
        <v>17627300</v>
      </c>
      <c r="J21" t="n">
        <v>51134258.3919241</v>
      </c>
      <c r="K21" t="n">
        <v>1081460</v>
      </c>
      <c r="L21" t="n">
        <v>187534</v>
      </c>
      <c r="M21" t="n">
        <v>310643</v>
      </c>
      <c r="N21" t="n">
        <v>1636900</v>
      </c>
      <c r="O21" t="n">
        <v>1181100</v>
      </c>
      <c r="P21" t="n">
        <v>1865600</v>
      </c>
      <c r="Q21" t="n">
        <v>16571</v>
      </c>
      <c r="R21" t="n">
        <v>1721813</v>
      </c>
      <c r="S21" t="n">
        <v>549420</v>
      </c>
      <c r="T21" t="n">
        <v>238549</v>
      </c>
      <c r="U21" t="n">
        <v>13649677</v>
      </c>
      <c r="V21" t="n">
        <v>8350808</v>
      </c>
      <c r="W21" t="n">
        <v>337880</v>
      </c>
      <c r="X21" t="n">
        <v>88460</v>
      </c>
      <c r="Y21" t="n">
        <v>2654407</v>
      </c>
      <c r="Z21" t="n">
        <v>2740700</v>
      </c>
      <c r="AA21" t="n">
        <v>31662900</v>
      </c>
      <c r="AB21" t="n">
        <v>10821700</v>
      </c>
      <c r="AC21" t="n">
        <v>14356600</v>
      </c>
      <c r="AD21" t="n">
        <v>936500</v>
      </c>
      <c r="AE21" t="n">
        <v>39727886336</v>
      </c>
      <c r="AF21" t="n">
        <v>18018801664</v>
      </c>
    </row>
    <row r="22" ht="16" customHeight="1">
      <c r="A22" t="inlineStr">
        <is>
          <t>04/09/2026</t>
        </is>
      </c>
      <c r="B22" t="n">
        <v>422329</v>
      </c>
      <c r="C22" t="n">
        <v>1062139</v>
      </c>
      <c r="D22" t="n">
        <v>22037</v>
      </c>
      <c r="E22" t="n">
        <v>23669681</v>
      </c>
      <c r="J22" t="n">
        <v>54262102.39244269</v>
      </c>
      <c r="K22" t="n">
        <v>1108820</v>
      </c>
      <c r="L22" t="n">
        <v>73857</v>
      </c>
      <c r="M22" t="n">
        <v>159782</v>
      </c>
      <c r="N22" t="n">
        <v>2343866</v>
      </c>
      <c r="O22" t="n">
        <v>1319784</v>
      </c>
      <c r="P22" t="n">
        <v>2519701</v>
      </c>
      <c r="Q22" t="n">
        <v>21085</v>
      </c>
      <c r="R22" t="n">
        <v>2731676</v>
      </c>
      <c r="S22" t="n">
        <v>385715</v>
      </c>
      <c r="T22" t="n">
        <v>78449</v>
      </c>
      <c r="U22" t="n">
        <v>16634947</v>
      </c>
      <c r="V22" t="n">
        <v>3743368</v>
      </c>
      <c r="W22" t="n">
        <v>331289</v>
      </c>
      <c r="X22" t="n">
        <v>74282</v>
      </c>
      <c r="Y22" t="n">
        <v>1906961</v>
      </c>
      <c r="Z22" t="n">
        <v>5573674</v>
      </c>
      <c r="AA22" t="n">
        <v>30048876</v>
      </c>
      <c r="AB22" t="n">
        <v>15424627</v>
      </c>
      <c r="AC22" t="n">
        <v>17038311</v>
      </c>
      <c r="AD22" t="n">
        <v>1005473</v>
      </c>
      <c r="AE22" t="n">
        <v>38292852736</v>
      </c>
      <c r="AF22" t="n">
        <v>18261708800</v>
      </c>
    </row>
    <row r="23" ht="16" customHeight="1">
      <c r="A23" t="inlineStr">
        <is>
          <t>04/08/2026</t>
        </is>
      </c>
      <c r="B23" t="n">
        <v>426139</v>
      </c>
      <c r="C23" t="n">
        <v>467662</v>
      </c>
      <c r="D23" t="n">
        <v>95548</v>
      </c>
      <c r="E23" t="n">
        <v>17189201</v>
      </c>
      <c r="J23" t="n">
        <v>94263892.41276032</v>
      </c>
      <c r="K23" t="n">
        <v>1787815</v>
      </c>
      <c r="L23" t="n">
        <v>184344</v>
      </c>
      <c r="M23" t="n">
        <v>449824</v>
      </c>
      <c r="N23" t="n">
        <v>2900423</v>
      </c>
      <c r="O23" t="n">
        <v>1821377</v>
      </c>
      <c r="P23" t="n">
        <v>2126996</v>
      </c>
      <c r="Q23" t="n">
        <v>78876</v>
      </c>
      <c r="R23" t="n">
        <v>3229745</v>
      </c>
      <c r="S23" t="n">
        <v>532527</v>
      </c>
      <c r="T23" t="n">
        <v>790292</v>
      </c>
      <c r="U23" t="n">
        <v>17704916</v>
      </c>
      <c r="V23" t="n">
        <v>7994154</v>
      </c>
      <c r="W23" t="n">
        <v>575818</v>
      </c>
      <c r="X23" t="n">
        <v>127674</v>
      </c>
      <c r="Y23" t="n">
        <v>3314307</v>
      </c>
      <c r="Z23" t="n">
        <v>2713861</v>
      </c>
      <c r="AA23" t="n">
        <v>17946976</v>
      </c>
      <c r="AB23" t="n">
        <v>18726293</v>
      </c>
      <c r="AC23" t="n">
        <v>13413685</v>
      </c>
      <c r="AD23" t="n">
        <v>1129479</v>
      </c>
      <c r="AE23" t="n">
        <v>49017290752</v>
      </c>
      <c r="AF23" t="n">
        <v>25511000064</v>
      </c>
    </row>
    <row r="24" ht="16" customHeight="1">
      <c r="A24" t="inlineStr">
        <is>
          <t>04/07/2026</t>
        </is>
      </c>
      <c r="B24" t="n">
        <v>403862</v>
      </c>
      <c r="C24" t="n">
        <v>287769</v>
      </c>
      <c r="D24" t="n">
        <v>51847</v>
      </c>
      <c r="E24" t="n">
        <v>23076600</v>
      </c>
      <c r="J24" t="n">
        <v>55406272.89095732</v>
      </c>
      <c r="K24" t="n">
        <v>1279483</v>
      </c>
      <c r="L24" t="n">
        <v>99256</v>
      </c>
      <c r="M24" t="n">
        <v>276507</v>
      </c>
      <c r="N24" t="n">
        <v>2518300</v>
      </c>
      <c r="O24" t="n">
        <v>1376500</v>
      </c>
      <c r="P24" t="n">
        <v>2894900</v>
      </c>
      <c r="Q24" t="n">
        <v>7841</v>
      </c>
      <c r="R24" t="n">
        <v>3010019</v>
      </c>
      <c r="S24" t="n">
        <v>594926</v>
      </c>
      <c r="T24" t="n">
        <v>93081</v>
      </c>
      <c r="U24" t="n">
        <v>13261490</v>
      </c>
      <c r="V24" t="n">
        <v>5563451</v>
      </c>
      <c r="W24" t="n">
        <v>373009</v>
      </c>
      <c r="X24" t="n">
        <v>92003</v>
      </c>
      <c r="Y24" t="n">
        <v>2916008</v>
      </c>
      <c r="Z24" t="n">
        <v>2726800</v>
      </c>
      <c r="AA24" t="n">
        <v>21949800</v>
      </c>
      <c r="AB24" t="n">
        <v>15007400</v>
      </c>
      <c r="AC24" t="n">
        <v>18364800</v>
      </c>
      <c r="AD24" t="n">
        <v>1369000</v>
      </c>
      <c r="AE24" t="n">
        <v>35623415808</v>
      </c>
      <c r="AF24" t="n">
        <v>17329305600</v>
      </c>
    </row>
    <row r="25" ht="16" customHeight="1">
      <c r="A25" t="inlineStr">
        <is>
          <t>04/06/2026</t>
        </is>
      </c>
      <c r="B25" t="n">
        <v>379739</v>
      </c>
      <c r="C25" t="n">
        <v>302147</v>
      </c>
      <c r="D25" t="n">
        <v>53003</v>
      </c>
      <c r="E25" t="n">
        <v>22593000</v>
      </c>
      <c r="J25" t="n">
        <v>48823175.67289185</v>
      </c>
      <c r="K25" t="n">
        <v>1118437</v>
      </c>
      <c r="L25" t="n">
        <v>116055</v>
      </c>
      <c r="M25" t="n">
        <v>469542</v>
      </c>
      <c r="N25" t="n">
        <v>13322300</v>
      </c>
      <c r="O25" t="n">
        <v>2063500</v>
      </c>
      <c r="P25" t="n">
        <v>2781100</v>
      </c>
      <c r="Q25" t="n">
        <v>11584</v>
      </c>
      <c r="R25" t="n">
        <v>3198690</v>
      </c>
      <c r="S25" t="n">
        <v>837899</v>
      </c>
      <c r="T25" t="n">
        <v>103058</v>
      </c>
      <c r="U25" t="n">
        <v>14486417</v>
      </c>
      <c r="V25" t="n">
        <v>8121836</v>
      </c>
      <c r="W25" t="n">
        <v>399563</v>
      </c>
      <c r="X25" t="n">
        <v>78099</v>
      </c>
      <c r="Y25" t="n">
        <v>4531238</v>
      </c>
      <c r="Z25" t="n">
        <v>2931400</v>
      </c>
      <c r="AA25" t="n">
        <v>20626200</v>
      </c>
      <c r="AB25" t="n">
        <v>21992200</v>
      </c>
      <c r="AC25" t="n">
        <v>17609700</v>
      </c>
      <c r="AD25" t="n">
        <v>1190900</v>
      </c>
      <c r="AE25" t="n">
        <v>29413097472</v>
      </c>
      <c r="AF25" t="n">
        <v>13191326720</v>
      </c>
    </row>
    <row r="26" ht="16" customHeight="1">
      <c r="A26" t="inlineStr">
        <is>
          <t>04/05/2026</t>
        </is>
      </c>
      <c r="E26" t="n">
        <v>22593000</v>
      </c>
      <c r="J26" t="n">
        <v>21802172.82023638</v>
      </c>
      <c r="N26" t="n">
        <v>13322300</v>
      </c>
      <c r="O26" t="n">
        <v>2063500</v>
      </c>
      <c r="P26" t="n">
        <v>2781100</v>
      </c>
      <c r="Z26" t="n">
        <v>2931400</v>
      </c>
      <c r="AA26" t="n">
        <v>20626200</v>
      </c>
      <c r="AB26" t="n">
        <v>21992200</v>
      </c>
      <c r="AC26" t="n">
        <v>17609700</v>
      </c>
      <c r="AD26" t="n">
        <v>1190900</v>
      </c>
      <c r="AE26" t="n">
        <v>16917640192</v>
      </c>
      <c r="AF26" t="n">
        <v>7425126400</v>
      </c>
    </row>
    <row r="27" ht="16" customHeight="1">
      <c r="A27" t="inlineStr">
        <is>
          <t>04/04/2026</t>
        </is>
      </c>
      <c r="E27" t="n">
        <v>22593000</v>
      </c>
      <c r="J27" t="n">
        <v>25588054.45547153</v>
      </c>
      <c r="N27" t="n">
        <v>13322300</v>
      </c>
      <c r="O27" t="n">
        <v>2063500</v>
      </c>
      <c r="P27" t="n">
        <v>2781100</v>
      </c>
      <c r="Z27" t="n">
        <v>2931400</v>
      </c>
      <c r="AA27" t="n">
        <v>20626200</v>
      </c>
      <c r="AB27" t="n">
        <v>21992200</v>
      </c>
      <c r="AC27" t="n">
        <v>17609700</v>
      </c>
      <c r="AD27" t="n">
        <v>1190900</v>
      </c>
      <c r="AE27" t="n">
        <v>18723545088</v>
      </c>
      <c r="AF27" t="n">
        <v>7981454336</v>
      </c>
    </row>
    <row r="28" ht="16" customHeight="1">
      <c r="A28" t="inlineStr">
        <is>
          <t>04/03/2026</t>
        </is>
      </c>
      <c r="B28" t="n">
        <v>82232</v>
      </c>
      <c r="C28" t="n">
        <v>350806</v>
      </c>
      <c r="D28" t="n">
        <v>57982</v>
      </c>
      <c r="E28" t="n">
        <v>22308300</v>
      </c>
      <c r="J28" t="n">
        <v>63006749.10318606</v>
      </c>
      <c r="K28" t="n">
        <v>1031109</v>
      </c>
      <c r="L28" t="n">
        <v>146920</v>
      </c>
      <c r="M28" t="n">
        <v>351460</v>
      </c>
      <c r="N28" t="n">
        <v>13321600</v>
      </c>
      <c r="O28" t="n">
        <v>2063500</v>
      </c>
      <c r="P28" t="n">
        <v>2781100</v>
      </c>
      <c r="Q28" t="n">
        <v>52462</v>
      </c>
      <c r="R28" t="n">
        <v>2829623</v>
      </c>
      <c r="S28" t="n">
        <v>320161</v>
      </c>
      <c r="T28" t="n">
        <v>104653</v>
      </c>
      <c r="U28" t="n">
        <v>15177459</v>
      </c>
      <c r="V28" t="n">
        <v>4226690</v>
      </c>
      <c r="W28" t="n">
        <v>340253</v>
      </c>
      <c r="X28" t="n">
        <v>79058</v>
      </c>
      <c r="Y28" t="n">
        <v>2642764</v>
      </c>
      <c r="Z28" t="n">
        <v>2920200</v>
      </c>
      <c r="AA28" t="n">
        <v>20574000</v>
      </c>
      <c r="AB28" t="n">
        <v>21988700</v>
      </c>
      <c r="AC28" t="n">
        <v>17579000</v>
      </c>
      <c r="AD28" t="n">
        <v>1190900</v>
      </c>
      <c r="AE28" t="n">
        <v>33710342144</v>
      </c>
      <c r="AF28" t="n">
        <v>14650299392</v>
      </c>
    </row>
    <row r="29" ht="16" customHeight="1">
      <c r="A29" t="inlineStr">
        <is>
          <t>04/02/2026</t>
        </is>
      </c>
      <c r="B29" t="n">
        <v>121893</v>
      </c>
      <c r="C29" t="n">
        <v>315800</v>
      </c>
      <c r="D29" t="n">
        <v>73617</v>
      </c>
      <c r="E29" t="n">
        <v>41018800</v>
      </c>
      <c r="J29" t="n">
        <v>65735759.56545416</v>
      </c>
      <c r="K29" t="n">
        <v>2700503</v>
      </c>
      <c r="L29" t="n">
        <v>477392</v>
      </c>
      <c r="M29" t="n">
        <v>418579</v>
      </c>
      <c r="N29" t="n">
        <v>3270900</v>
      </c>
      <c r="O29" t="n">
        <v>2604700</v>
      </c>
      <c r="P29" t="n">
        <v>3137500</v>
      </c>
      <c r="Q29" t="n">
        <v>42320</v>
      </c>
      <c r="R29" t="n">
        <v>4260492</v>
      </c>
      <c r="S29" t="n">
        <v>631653</v>
      </c>
      <c r="T29" t="n">
        <v>355715</v>
      </c>
      <c r="U29" t="n">
        <v>11287955</v>
      </c>
      <c r="V29" t="n">
        <v>6007941</v>
      </c>
      <c r="W29" t="n">
        <v>389536</v>
      </c>
      <c r="X29" t="n">
        <v>288024</v>
      </c>
      <c r="Y29" t="n">
        <v>4282178</v>
      </c>
      <c r="Z29" t="n">
        <v>4394300</v>
      </c>
      <c r="AA29" t="n">
        <v>31957500</v>
      </c>
      <c r="AB29" t="n">
        <v>30889900</v>
      </c>
      <c r="AC29" t="n">
        <v>15322400</v>
      </c>
      <c r="AD29" t="n">
        <v>2038500</v>
      </c>
      <c r="AE29" t="n">
        <v>38034984960</v>
      </c>
      <c r="AF29" t="n">
        <v>21228568576</v>
      </c>
    </row>
    <row r="30" ht="16" customHeight="1">
      <c r="A30" t="inlineStr">
        <is>
          <t>04/01/2026</t>
        </is>
      </c>
      <c r="B30" t="n">
        <v>119413</v>
      </c>
      <c r="C30" t="n">
        <v>334739</v>
      </c>
      <c r="D30" t="n">
        <v>59417</v>
      </c>
      <c r="E30" t="n">
        <v>36601200</v>
      </c>
      <c r="J30" t="n">
        <v>65833722.57659295</v>
      </c>
      <c r="K30" t="n">
        <v>2227889</v>
      </c>
      <c r="L30" t="n">
        <v>322432</v>
      </c>
      <c r="M30" t="n">
        <v>776563</v>
      </c>
      <c r="N30" t="n">
        <v>4953200</v>
      </c>
      <c r="O30" t="n">
        <v>2971600</v>
      </c>
      <c r="P30" t="n">
        <v>3891700</v>
      </c>
      <c r="Q30" t="n">
        <v>15563</v>
      </c>
      <c r="R30" t="n">
        <v>3296510</v>
      </c>
      <c r="S30" t="n">
        <v>638836</v>
      </c>
      <c r="T30" t="n">
        <v>143423</v>
      </c>
      <c r="U30" t="n">
        <v>14192936</v>
      </c>
      <c r="V30" t="n">
        <v>5294606</v>
      </c>
      <c r="W30" t="n">
        <v>512423</v>
      </c>
      <c r="X30" t="n">
        <v>209312</v>
      </c>
      <c r="Y30" t="n">
        <v>3891040</v>
      </c>
      <c r="Z30" t="n">
        <v>6044000</v>
      </c>
      <c r="AA30" t="n">
        <v>30403300</v>
      </c>
      <c r="AB30" t="n">
        <v>30822200</v>
      </c>
      <c r="AC30" t="n">
        <v>21171200</v>
      </c>
      <c r="AD30" t="n">
        <v>2594900</v>
      </c>
      <c r="AE30" t="n">
        <v>42860240896</v>
      </c>
      <c r="AF30" t="n">
        <v>21609723904</v>
      </c>
    </row>
    <row r="31" ht="16" customHeight="1">
      <c r="A31" t="inlineStr">
        <is>
          <t>03/31/2026</t>
        </is>
      </c>
      <c r="B31" t="n">
        <v>111161</v>
      </c>
      <c r="C31" t="n">
        <v>261636</v>
      </c>
      <c r="D31" t="n">
        <v>58133</v>
      </c>
      <c r="E31" t="n">
        <v>18921800</v>
      </c>
      <c r="J31" t="n">
        <v>62567300.99429103</v>
      </c>
      <c r="K31" t="n">
        <v>2681930</v>
      </c>
      <c r="L31" t="n">
        <v>306951</v>
      </c>
      <c r="M31" t="n">
        <v>1169585</v>
      </c>
      <c r="N31" t="n">
        <v>2658900</v>
      </c>
      <c r="O31" t="n">
        <v>1878500</v>
      </c>
      <c r="P31" t="n">
        <v>3631300</v>
      </c>
      <c r="Q31" t="n">
        <v>15317</v>
      </c>
      <c r="R31" t="n">
        <v>5046064</v>
      </c>
      <c r="S31" t="n">
        <v>574253</v>
      </c>
      <c r="T31" t="n">
        <v>159359</v>
      </c>
      <c r="U31" t="n">
        <v>14489654</v>
      </c>
      <c r="V31" t="n">
        <v>6013508</v>
      </c>
      <c r="W31" t="n">
        <v>354888</v>
      </c>
      <c r="X31" t="n">
        <v>229162</v>
      </c>
      <c r="Y31" t="n">
        <v>4385174</v>
      </c>
      <c r="Z31" t="n">
        <v>3795600</v>
      </c>
      <c r="AA31" t="n">
        <v>30473100</v>
      </c>
      <c r="AB31" t="n">
        <v>24676900</v>
      </c>
      <c r="AC31" t="n">
        <v>15733900</v>
      </c>
      <c r="AD31" t="n">
        <v>1687100</v>
      </c>
      <c r="AE31" t="n">
        <v>36121321472</v>
      </c>
      <c r="AF31" t="n">
        <v>16955199488</v>
      </c>
    </row>
    <row r="32" ht="16" customHeight="1">
      <c r="A32" t="inlineStr">
        <is>
          <t>03/30/2026</t>
        </is>
      </c>
      <c r="B32" t="n">
        <v>206208</v>
      </c>
      <c r="C32" t="n">
        <v>279596</v>
      </c>
      <c r="D32" t="n">
        <v>108762</v>
      </c>
      <c r="E32" t="n">
        <v>19536200</v>
      </c>
      <c r="J32" t="n">
        <v>45889792.62940744</v>
      </c>
      <c r="K32" t="n">
        <v>1980294</v>
      </c>
      <c r="L32" t="n">
        <v>279590</v>
      </c>
      <c r="M32" t="n">
        <v>490917</v>
      </c>
      <c r="N32" t="n">
        <v>3487800</v>
      </c>
      <c r="O32" t="n">
        <v>2903300</v>
      </c>
      <c r="P32" t="n">
        <v>4460400</v>
      </c>
      <c r="Q32" t="n">
        <v>21992</v>
      </c>
      <c r="R32" t="n">
        <v>2659413</v>
      </c>
      <c r="S32" t="n">
        <v>716663</v>
      </c>
      <c r="T32" t="n">
        <v>427931</v>
      </c>
      <c r="U32" t="n">
        <v>14170834</v>
      </c>
      <c r="V32" t="n">
        <v>5192705</v>
      </c>
      <c r="W32" t="n">
        <v>356885</v>
      </c>
      <c r="X32" t="n">
        <v>164933</v>
      </c>
      <c r="Y32" t="n">
        <v>2882542</v>
      </c>
      <c r="Z32" t="n">
        <v>4885200</v>
      </c>
      <c r="AA32" t="n">
        <v>23383200</v>
      </c>
      <c r="AB32" t="n">
        <v>29997400</v>
      </c>
      <c r="AC32" t="n">
        <v>21430100</v>
      </c>
      <c r="AD32" t="n">
        <v>1698400</v>
      </c>
      <c r="AE32" t="n">
        <v>28135385088</v>
      </c>
      <c r="AF32" t="n">
        <v>13332261888</v>
      </c>
    </row>
    <row r="33" ht="16" customHeight="1">
      <c r="A33" t="inlineStr">
        <is>
          <t>03/29/2026</t>
        </is>
      </c>
      <c r="E33" t="n">
        <v>19536200</v>
      </c>
      <c r="J33" t="n">
        <v>23042240.90807591</v>
      </c>
      <c r="N33" t="n">
        <v>3487800</v>
      </c>
      <c r="O33" t="n">
        <v>2903300</v>
      </c>
      <c r="P33" t="n">
        <v>4460400</v>
      </c>
      <c r="Z33" t="n">
        <v>4885200</v>
      </c>
      <c r="AA33" t="n">
        <v>23383200</v>
      </c>
      <c r="AB33" t="n">
        <v>29997400</v>
      </c>
      <c r="AC33" t="n">
        <v>21430100</v>
      </c>
      <c r="AD33" t="n">
        <v>1698400</v>
      </c>
      <c r="AE33" t="n">
        <v>19881410560</v>
      </c>
      <c r="AF33" t="n">
        <v>8541316608</v>
      </c>
    </row>
    <row r="34" ht="16" customHeight="1">
      <c r="A34" t="inlineStr">
        <is>
          <t>03/28/2026</t>
        </is>
      </c>
      <c r="E34" t="n">
        <v>19536200</v>
      </c>
      <c r="J34" t="n">
        <v>78785399.1590794</v>
      </c>
      <c r="N34" t="n">
        <v>3487800</v>
      </c>
      <c r="O34" t="n">
        <v>2903300</v>
      </c>
      <c r="P34" t="n">
        <v>4460400</v>
      </c>
      <c r="Z34" t="n">
        <v>4885200</v>
      </c>
      <c r="AA34" t="n">
        <v>23383200</v>
      </c>
      <c r="AB34" t="n">
        <v>29997400</v>
      </c>
      <c r="AC34" t="n">
        <v>21430100</v>
      </c>
      <c r="AD34" t="n">
        <v>1698400</v>
      </c>
      <c r="AE34" t="n">
        <v>44203380736</v>
      </c>
      <c r="AF34" t="n">
        <v>18178652160</v>
      </c>
    </row>
    <row r="35" ht="16" customHeight="1">
      <c r="A35" t="inlineStr">
        <is>
          <t>03/27/2026</t>
        </is>
      </c>
      <c r="B35" t="n">
        <v>203190</v>
      </c>
      <c r="C35" t="n">
        <v>357094</v>
      </c>
      <c r="D35" t="n">
        <v>103758</v>
      </c>
      <c r="E35" t="n">
        <v>17337800</v>
      </c>
      <c r="J35" t="n">
        <v>73946475.11805145</v>
      </c>
      <c r="K35" t="n">
        <v>1681295</v>
      </c>
      <c r="L35" t="n">
        <v>181664</v>
      </c>
      <c r="M35" t="n">
        <v>419605</v>
      </c>
      <c r="N35" t="n">
        <v>2800100</v>
      </c>
      <c r="O35" t="n">
        <v>2351400</v>
      </c>
      <c r="P35" t="n">
        <v>2622100</v>
      </c>
      <c r="Q35" t="n">
        <v>8099</v>
      </c>
      <c r="R35" t="n">
        <v>2320741</v>
      </c>
      <c r="S35" t="n">
        <v>440575</v>
      </c>
      <c r="T35" t="n">
        <v>342870</v>
      </c>
      <c r="U35" t="n">
        <v>8381359</v>
      </c>
      <c r="V35" t="n">
        <v>5322600</v>
      </c>
      <c r="W35" t="n">
        <v>381593</v>
      </c>
      <c r="X35" t="n">
        <v>265419</v>
      </c>
      <c r="Y35" t="n">
        <v>3800142</v>
      </c>
      <c r="Z35" t="n">
        <v>4652300</v>
      </c>
      <c r="AA35" t="n">
        <v>20173000</v>
      </c>
      <c r="AB35" t="n">
        <v>10900100</v>
      </c>
      <c r="AC35" t="n">
        <v>15216700</v>
      </c>
      <c r="AD35" t="n">
        <v>1207500</v>
      </c>
      <c r="AE35" t="n">
        <v>38136483840</v>
      </c>
      <c r="AF35" t="n">
        <v>17662779392</v>
      </c>
    </row>
    <row r="36" ht="16" customHeight="1">
      <c r="A36" t="inlineStr">
        <is>
          <t>03/26/2026</t>
        </is>
      </c>
      <c r="B36" t="n">
        <v>499077</v>
      </c>
      <c r="C36" t="n">
        <v>282058</v>
      </c>
      <c r="D36" t="n">
        <v>109371</v>
      </c>
      <c r="E36" t="n">
        <v>14560702</v>
      </c>
      <c r="J36" t="n">
        <v>42778469.55312812</v>
      </c>
      <c r="K36" t="n">
        <v>1603454</v>
      </c>
      <c r="L36" t="n">
        <v>104924</v>
      </c>
      <c r="M36" t="n">
        <v>242585</v>
      </c>
      <c r="N36" t="n">
        <v>2331946</v>
      </c>
      <c r="O36" t="n">
        <v>2727962</v>
      </c>
      <c r="P36" t="n">
        <v>2406190</v>
      </c>
      <c r="Q36" t="n">
        <v>11311</v>
      </c>
      <c r="R36" t="n">
        <v>3624896</v>
      </c>
      <c r="S36" t="n">
        <v>330962</v>
      </c>
      <c r="T36" t="n">
        <v>220672</v>
      </c>
      <c r="U36" t="n">
        <v>12538661</v>
      </c>
      <c r="V36" t="n">
        <v>3931171</v>
      </c>
      <c r="W36" t="n">
        <v>414748</v>
      </c>
      <c r="X36" t="n">
        <v>200882</v>
      </c>
      <c r="Y36" t="n">
        <v>3857783</v>
      </c>
      <c r="Z36" t="n">
        <v>3107264</v>
      </c>
      <c r="AA36" t="n">
        <v>26737815</v>
      </c>
      <c r="AB36" t="n">
        <v>25321504</v>
      </c>
      <c r="AC36" t="n">
        <v>18514805</v>
      </c>
      <c r="AD36" t="n">
        <v>1246277</v>
      </c>
      <c r="AE36" t="n">
        <v>35343937536</v>
      </c>
      <c r="AF36" t="n">
        <v>16755169280</v>
      </c>
    </row>
    <row r="37" ht="16" customHeight="1">
      <c r="A37" t="inlineStr">
        <is>
          <t>03/25/2026</t>
        </is>
      </c>
      <c r="B37" t="n">
        <v>383412</v>
      </c>
      <c r="C37" t="n">
        <v>248491</v>
      </c>
      <c r="D37" t="n">
        <v>93184</v>
      </c>
      <c r="E37" t="n">
        <v>16986969</v>
      </c>
      <c r="J37" t="n">
        <v>43729633.11588036</v>
      </c>
      <c r="K37" t="n">
        <v>2606646</v>
      </c>
      <c r="L37" t="n">
        <v>121044</v>
      </c>
      <c r="M37" t="n">
        <v>267847</v>
      </c>
      <c r="N37" t="n">
        <v>3614435</v>
      </c>
      <c r="O37" t="n">
        <v>4330497</v>
      </c>
      <c r="P37" t="n">
        <v>4138516</v>
      </c>
      <c r="Q37" t="n">
        <v>13444</v>
      </c>
      <c r="R37" t="n">
        <v>3404393</v>
      </c>
      <c r="S37" t="n">
        <v>441962</v>
      </c>
      <c r="T37" t="n">
        <v>117972</v>
      </c>
      <c r="U37" t="n">
        <v>10318232</v>
      </c>
      <c r="V37" t="n">
        <v>4447748</v>
      </c>
      <c r="W37" t="n">
        <v>320855</v>
      </c>
      <c r="X37" t="n">
        <v>129420</v>
      </c>
      <c r="Y37" t="n">
        <v>3258600</v>
      </c>
      <c r="Z37" t="n">
        <v>4030048</v>
      </c>
      <c r="AA37" t="n">
        <v>29661242</v>
      </c>
      <c r="AB37" t="n">
        <v>31394691</v>
      </c>
      <c r="AC37" t="n">
        <v>18977958</v>
      </c>
      <c r="AD37" t="n">
        <v>1444286</v>
      </c>
      <c r="AE37" t="n">
        <v>41029095424</v>
      </c>
      <c r="AF37" t="n">
        <v>18535809024</v>
      </c>
    </row>
    <row r="38" ht="16" customHeight="1">
      <c r="A38" t="inlineStr">
        <is>
          <t>03/24/2026</t>
        </is>
      </c>
      <c r="B38" t="n">
        <v>412611</v>
      </c>
      <c r="C38" t="n">
        <v>252742</v>
      </c>
      <c r="D38" t="n">
        <v>86174</v>
      </c>
      <c r="E38" t="n">
        <v>29629090</v>
      </c>
      <c r="J38" t="n">
        <v>74311795.31874005</v>
      </c>
      <c r="K38" t="n">
        <v>2962071</v>
      </c>
      <c r="L38" t="n">
        <v>198657</v>
      </c>
      <c r="M38" t="n">
        <v>219975</v>
      </c>
      <c r="N38" t="n">
        <v>7553645</v>
      </c>
      <c r="O38" t="n">
        <v>5234387</v>
      </c>
      <c r="P38" t="n">
        <v>2938590</v>
      </c>
      <c r="Q38" t="n">
        <v>12632</v>
      </c>
      <c r="R38" t="n">
        <v>3672485</v>
      </c>
      <c r="S38" t="n">
        <v>1365641</v>
      </c>
      <c r="T38" t="n">
        <v>269121</v>
      </c>
      <c r="U38" t="n">
        <v>13980719</v>
      </c>
      <c r="V38" t="n">
        <v>4407384</v>
      </c>
      <c r="W38" t="n">
        <v>489001</v>
      </c>
      <c r="X38" t="n">
        <v>188269</v>
      </c>
      <c r="Y38" t="n">
        <v>3402519</v>
      </c>
      <c r="Z38" t="n">
        <v>4458633</v>
      </c>
      <c r="AA38" t="n">
        <v>32923717</v>
      </c>
      <c r="AB38" t="n">
        <v>33676536</v>
      </c>
      <c r="AC38" t="n">
        <v>20076030</v>
      </c>
      <c r="AD38" t="n">
        <v>2072355</v>
      </c>
      <c r="AE38" t="n">
        <v>48975613952</v>
      </c>
      <c r="AF38" t="n">
        <v>27863912448</v>
      </c>
    </row>
    <row r="39" ht="16" customHeight="1">
      <c r="A39" t="inlineStr">
        <is>
          <t>03/23/2026</t>
        </is>
      </c>
      <c r="B39" t="n">
        <v>417529</v>
      </c>
      <c r="C39" t="n">
        <v>279800</v>
      </c>
      <c r="D39" t="n">
        <v>92432</v>
      </c>
      <c r="E39" t="n">
        <v>22176491</v>
      </c>
      <c r="J39" t="n">
        <v>47842125.98718314</v>
      </c>
      <c r="K39" t="n">
        <v>5400365</v>
      </c>
      <c r="L39" t="n">
        <v>183948</v>
      </c>
      <c r="M39" t="n">
        <v>490123</v>
      </c>
      <c r="N39" t="n">
        <v>3001950</v>
      </c>
      <c r="O39" t="n">
        <v>17568501</v>
      </c>
      <c r="P39" t="n">
        <v>2931598</v>
      </c>
      <c r="Q39" t="n">
        <v>28358</v>
      </c>
      <c r="R39" t="n">
        <v>4664957</v>
      </c>
      <c r="S39" t="n">
        <v>956968</v>
      </c>
      <c r="T39" t="n">
        <v>454026</v>
      </c>
      <c r="U39" t="n">
        <v>16558026</v>
      </c>
      <c r="V39" t="n">
        <v>7131738</v>
      </c>
      <c r="W39" t="n">
        <v>466502</v>
      </c>
      <c r="X39" t="n">
        <v>331009</v>
      </c>
      <c r="Y39" t="n">
        <v>5880297</v>
      </c>
      <c r="Z39" t="n">
        <v>5232434</v>
      </c>
      <c r="AA39" t="n">
        <v>27317421</v>
      </c>
      <c r="AB39" t="n">
        <v>19058282</v>
      </c>
      <c r="AC39" t="n">
        <v>28568296</v>
      </c>
      <c r="AD39" t="n">
        <v>1618669</v>
      </c>
      <c r="AE39" t="n">
        <v>31928903680</v>
      </c>
      <c r="AF39" t="n">
        <v>15181412352</v>
      </c>
    </row>
    <row r="40" ht="16" customHeight="1">
      <c r="A40" t="inlineStr">
        <is>
          <t>03/22/2026</t>
        </is>
      </c>
      <c r="E40" t="n">
        <v>22176491</v>
      </c>
      <c r="J40" t="n">
        <v>51073663.74162595</v>
      </c>
      <c r="N40" t="n">
        <v>3001950</v>
      </c>
      <c r="O40" t="n">
        <v>17568501</v>
      </c>
      <c r="P40" t="n">
        <v>2920149</v>
      </c>
      <c r="Z40" t="n">
        <v>5193645</v>
      </c>
      <c r="AA40" t="n">
        <v>27317421</v>
      </c>
      <c r="AB40" t="n">
        <v>19058282</v>
      </c>
      <c r="AC40" t="n">
        <v>28004943</v>
      </c>
      <c r="AD40" t="n">
        <v>1618669</v>
      </c>
      <c r="AE40" t="n">
        <v>25447782400</v>
      </c>
      <c r="AF40" t="n">
        <v>12517040128</v>
      </c>
    </row>
    <row r="41" ht="16" customHeight="1">
      <c r="A41" t="inlineStr">
        <is>
          <t>03/21/2026</t>
        </is>
      </c>
      <c r="E41" t="n">
        <v>22176491</v>
      </c>
      <c r="J41" t="n">
        <v>42505799.41869898</v>
      </c>
      <c r="N41" t="n">
        <v>3001850</v>
      </c>
      <c r="O41" t="n">
        <v>17568501</v>
      </c>
      <c r="P41" t="n">
        <v>2920149</v>
      </c>
      <c r="Z41" t="n">
        <v>5193645</v>
      </c>
      <c r="AA41" t="n">
        <v>27317421</v>
      </c>
      <c r="AB41" t="n">
        <v>19058282</v>
      </c>
      <c r="AC41" t="n">
        <v>28004943</v>
      </c>
      <c r="AD41" t="n">
        <v>1618669</v>
      </c>
      <c r="AE41" t="n">
        <v>34037966848</v>
      </c>
      <c r="AF41" t="n">
        <v>15766496256</v>
      </c>
    </row>
    <row r="42" ht="16" customHeight="1">
      <c r="A42" t="inlineStr">
        <is>
          <t>03/20/2026</t>
        </is>
      </c>
      <c r="B42" t="n">
        <v>392925</v>
      </c>
      <c r="C42" t="n">
        <v>224645</v>
      </c>
      <c r="D42" t="n">
        <v>81287</v>
      </c>
      <c r="E42" t="n">
        <v>19946723</v>
      </c>
      <c r="J42" t="n">
        <v>67196438.60744426</v>
      </c>
      <c r="K42" t="n">
        <v>3720472</v>
      </c>
      <c r="L42" t="n">
        <v>170236</v>
      </c>
      <c r="M42" t="n">
        <v>361943</v>
      </c>
      <c r="N42" t="n">
        <v>3604391</v>
      </c>
      <c r="O42" t="n">
        <v>2719301</v>
      </c>
      <c r="P42" t="n">
        <v>2954735</v>
      </c>
      <c r="Q42" t="n">
        <v>19775</v>
      </c>
      <c r="R42" t="n">
        <v>2952687</v>
      </c>
      <c r="S42" t="n">
        <v>423566</v>
      </c>
      <c r="T42" t="n">
        <v>28512</v>
      </c>
      <c r="U42" t="n">
        <v>16593903</v>
      </c>
      <c r="V42" t="n">
        <v>2231644</v>
      </c>
      <c r="W42" t="n">
        <v>428908</v>
      </c>
      <c r="X42" t="n">
        <v>174541</v>
      </c>
      <c r="Y42" t="n">
        <v>5780000</v>
      </c>
      <c r="Z42" t="n">
        <v>4631918</v>
      </c>
      <c r="AA42" t="n">
        <v>28674711</v>
      </c>
      <c r="AB42" t="n">
        <v>17559742</v>
      </c>
      <c r="AC42" t="n">
        <v>19144225</v>
      </c>
      <c r="AD42" t="n">
        <v>2193145</v>
      </c>
      <c r="AE42" t="n">
        <v>42391838720</v>
      </c>
      <c r="AF42" t="n">
        <v>22565036032</v>
      </c>
    </row>
    <row r="43" ht="16" customHeight="1">
      <c r="A43" s="39" t="inlineStr">
        <is>
          <t>03/19/2026</t>
        </is>
      </c>
      <c r="Y43" t="n">
        <v>8430000</v>
      </c>
    </row>
    <row r="44" ht="16" customHeight="1">
      <c r="A44" s="39" t="inlineStr">
        <is>
          <t>03/18/2026</t>
        </is>
      </c>
      <c r="Y44" t="n">
        <v>11820000</v>
      </c>
    </row>
    <row r="45" ht="16" customHeight="1">
      <c r="A45" s="2" t="inlineStr">
        <is>
          <t>03/17/2026</t>
        </is>
      </c>
      <c r="B45" s="2" t="n">
        <v>396890</v>
      </c>
      <c r="C45" s="2" t="n">
        <v>250270</v>
      </c>
      <c r="D45" s="2" t="n">
        <v>13611</v>
      </c>
      <c r="E45" s="2" t="n">
        <v>14289586</v>
      </c>
      <c r="F45" s="2" t="n"/>
      <c r="G45" s="2" t="n"/>
      <c r="H45" s="2" t="n"/>
      <c r="I45" s="2" t="n"/>
      <c r="J45" s="2" t="n">
        <v>88534027.09784733</v>
      </c>
      <c r="K45" s="2" t="n">
        <v>1593111</v>
      </c>
      <c r="L45" s="2" t="n">
        <v>116552</v>
      </c>
      <c r="M45" s="2" t="n">
        <v>263864</v>
      </c>
      <c r="N45" s="2" t="n">
        <v>2190134</v>
      </c>
      <c r="O45" s="2" t="n">
        <v>1901472</v>
      </c>
      <c r="P45" s="2" t="n">
        <v>1823493</v>
      </c>
      <c r="Q45" s="2" t="n">
        <v>14227</v>
      </c>
      <c r="R45" s="2" t="n">
        <v>4010694</v>
      </c>
      <c r="S45" s="2" t="n">
        <v>358254</v>
      </c>
      <c r="T45" s="2" t="n">
        <v>257671</v>
      </c>
      <c r="U45" s="2" t="n">
        <v>24652247</v>
      </c>
      <c r="V45" s="2" t="n">
        <v>2361818</v>
      </c>
      <c r="W45" s="2" t="n">
        <v>410904</v>
      </c>
      <c r="X45" s="2" t="n">
        <v>222413</v>
      </c>
      <c r="Y45" t="n">
        <v>14470000</v>
      </c>
      <c r="Z45" s="2" t="n">
        <v>2959904</v>
      </c>
      <c r="AA45" s="2" t="n">
        <v>30522942</v>
      </c>
      <c r="AB45" s="2" t="n">
        <v>13203187</v>
      </c>
      <c r="AC45" s="2" t="n">
        <v>22627443</v>
      </c>
      <c r="AD45" s="2" t="n">
        <v>1374851</v>
      </c>
      <c r="AE45" s="2" t="n">
        <v>57719730176</v>
      </c>
      <c r="AF45" s="2" t="n">
        <v>37708128256</v>
      </c>
    </row>
    <row r="46" ht="16" customHeight="1">
      <c r="A46" s="2" t="inlineStr">
        <is>
          <t>03/16/2026</t>
        </is>
      </c>
      <c r="B46" s="2" t="n">
        <v>397780</v>
      </c>
      <c r="C46" s="2" t="n">
        <v>294110</v>
      </c>
      <c r="D46" s="2" t="n">
        <v>23690</v>
      </c>
      <c r="E46" s="2" t="n">
        <v>14290000</v>
      </c>
      <c r="F46" s="2" t="n">
        <v>138890</v>
      </c>
      <c r="G46" s="2" t="n">
        <v>2470000</v>
      </c>
      <c r="H46" s="2" t="n">
        <v>158470</v>
      </c>
      <c r="I46" s="2" t="n">
        <v>133340</v>
      </c>
      <c r="J46" s="2" t="n">
        <v>71090000</v>
      </c>
      <c r="K46" s="2" t="n">
        <v>1630000</v>
      </c>
      <c r="L46" s="2" t="n">
        <v>150930</v>
      </c>
      <c r="M46" s="2" t="n">
        <v>422080</v>
      </c>
      <c r="N46" s="2" t="n">
        <v>2190000</v>
      </c>
      <c r="O46" s="2" t="n">
        <v>1900000</v>
      </c>
      <c r="P46" s="2" t="n">
        <v>1820000</v>
      </c>
      <c r="Q46" s="2" t="n">
        <v>13930</v>
      </c>
      <c r="R46" s="2" t="n">
        <v>3080000</v>
      </c>
      <c r="S46" s="2" t="n">
        <v>518659.9999999999</v>
      </c>
      <c r="T46" s="2" t="n">
        <v>192470</v>
      </c>
      <c r="U46" s="2" t="n">
        <v>8420000</v>
      </c>
      <c r="V46" s="2" t="n">
        <v>1890000</v>
      </c>
      <c r="W46" s="2" t="n">
        <v>579160</v>
      </c>
      <c r="X46" s="2" t="n">
        <v>185720</v>
      </c>
      <c r="Y46" t="n">
        <v>14850000</v>
      </c>
      <c r="Z46" s="2" t="n">
        <v>2960000</v>
      </c>
      <c r="AA46" s="2" t="n">
        <v>30200000</v>
      </c>
      <c r="AB46" s="2" t="n">
        <v>13300000</v>
      </c>
      <c r="AC46" s="2" t="n">
        <v>20400000</v>
      </c>
      <c r="AD46" s="2" t="n">
        <v>1380000</v>
      </c>
      <c r="AE46" s="2" t="n">
        <v>89610</v>
      </c>
      <c r="AF46" s="2" t="n">
        <v>953430</v>
      </c>
    </row>
    <row r="47" ht="16" customHeight="1">
      <c r="A47" s="2" t="inlineStr">
        <is>
          <t>03/15/2026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>
        <v>34190000</v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Z47" s="2" t="n"/>
      <c r="AA47" s="2" t="n"/>
      <c r="AB47" s="2" t="n"/>
      <c r="AC47" s="2" t="n"/>
      <c r="AD47" s="2" t="n"/>
      <c r="AE47" s="2" t="n">
        <v>43820</v>
      </c>
      <c r="AF47" s="2" t="n">
        <v>319760</v>
      </c>
    </row>
    <row r="48" ht="16" customHeight="1">
      <c r="A48" s="2" t="inlineStr">
        <is>
          <t>03/14/2026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>
        <v>44900000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Z48" s="2" t="n"/>
      <c r="AA48" s="2" t="n"/>
      <c r="AB48" s="2" t="n"/>
      <c r="AC48" s="2" t="n"/>
      <c r="AD48" s="2" t="n"/>
      <c r="AE48" s="2" t="n">
        <v>35820</v>
      </c>
      <c r="AF48" s="2" t="n">
        <v>184570</v>
      </c>
    </row>
    <row r="49" ht="16" customHeight="1">
      <c r="A49" s="2" t="inlineStr">
        <is>
          <t>03/13/2026</t>
        </is>
      </c>
      <c r="B49" s="2" t="n">
        <v>427940</v>
      </c>
      <c r="C49" s="2" t="n">
        <v>250380</v>
      </c>
      <c r="D49" s="2" t="n">
        <v>12120</v>
      </c>
      <c r="E49" s="2" t="n">
        <v>17760000</v>
      </c>
      <c r="F49" s="2" t="n">
        <v>234810</v>
      </c>
      <c r="G49" s="2" t="n">
        <v>3030000</v>
      </c>
      <c r="H49" s="2" t="n">
        <v>109920</v>
      </c>
      <c r="I49" s="2" t="n">
        <v>143640</v>
      </c>
      <c r="J49" s="2" t="n">
        <v>92160000</v>
      </c>
      <c r="K49" s="2" t="n">
        <v>1200000</v>
      </c>
      <c r="L49" s="2" t="n">
        <v>118170</v>
      </c>
      <c r="M49" s="2" t="n">
        <v>344740</v>
      </c>
      <c r="N49" s="2" t="n">
        <v>7640000</v>
      </c>
      <c r="O49" s="2" t="n">
        <v>7710000</v>
      </c>
      <c r="P49" s="2" t="n">
        <v>1930000</v>
      </c>
      <c r="Q49" s="2" t="n">
        <v>12710</v>
      </c>
      <c r="R49" s="2" t="n">
        <v>4640000</v>
      </c>
      <c r="S49" s="2" t="n">
        <v>515429.9999999999</v>
      </c>
      <c r="T49" s="2" t="n">
        <v>272960</v>
      </c>
      <c r="U49" s="2" t="n">
        <v>5970000</v>
      </c>
      <c r="V49" s="2" t="n">
        <v>2650000</v>
      </c>
      <c r="W49" s="2" t="n">
        <v>352830</v>
      </c>
      <c r="X49" s="2" t="n">
        <v>688920</v>
      </c>
      <c r="Y49" t="n">
        <v>23280000</v>
      </c>
      <c r="Z49" s="2" t="n">
        <v>4280000</v>
      </c>
      <c r="AA49" s="2" t="n">
        <v>30480000</v>
      </c>
      <c r="AB49" s="2" t="n">
        <v>73450000</v>
      </c>
      <c r="AC49" s="2" t="n">
        <v>23690000</v>
      </c>
      <c r="AD49" s="2" t="n">
        <v>1460000</v>
      </c>
      <c r="AE49" s="2" t="n">
        <v>99060</v>
      </c>
      <c r="AF49" s="2" t="n">
        <v>689330</v>
      </c>
    </row>
    <row r="50" ht="16" customHeight="1">
      <c r="A50" s="2" t="inlineStr">
        <is>
          <t>03/12/2026</t>
        </is>
      </c>
      <c r="B50" s="2" t="n">
        <v>439190</v>
      </c>
      <c r="C50" s="2" t="n">
        <v>221310</v>
      </c>
      <c r="D50" s="2" t="n">
        <v>15240</v>
      </c>
      <c r="E50" s="2" t="n">
        <v>17520000</v>
      </c>
      <c r="F50" s="2" t="n">
        <v>141330</v>
      </c>
      <c r="G50" s="2" t="n">
        <v>7470000</v>
      </c>
      <c r="H50" s="2" t="n">
        <v>276450</v>
      </c>
      <c r="I50" s="2" t="n">
        <v>107440</v>
      </c>
      <c r="J50" s="2" t="n">
        <v>69220000</v>
      </c>
      <c r="K50" s="2" t="n">
        <v>1180000</v>
      </c>
      <c r="L50" s="2" t="n">
        <v>206090</v>
      </c>
      <c r="M50" s="2" t="n">
        <v>331220</v>
      </c>
      <c r="N50" s="2" t="n">
        <v>3320000</v>
      </c>
      <c r="O50" s="2" t="n">
        <v>2580000</v>
      </c>
      <c r="P50" s="2" t="n">
        <v>2970000</v>
      </c>
      <c r="Q50" s="2" t="n">
        <v>18090</v>
      </c>
      <c r="R50" s="2" t="n">
        <v>5150000</v>
      </c>
      <c r="S50" s="2" t="n">
        <v>745760</v>
      </c>
      <c r="T50" s="2" t="n">
        <v>202300</v>
      </c>
      <c r="U50" s="2" t="n">
        <v>8520000</v>
      </c>
      <c r="V50" s="2" t="n">
        <v>2810000</v>
      </c>
      <c r="W50" s="2" t="n">
        <v>316270</v>
      </c>
      <c r="X50" s="2" t="n">
        <v>121550</v>
      </c>
      <c r="Y50" t="n">
        <v>24110000</v>
      </c>
      <c r="Z50" s="2" t="n">
        <v>4440000</v>
      </c>
      <c r="AA50" s="2" t="n">
        <v>22680000</v>
      </c>
      <c r="AB50" s="2" t="n">
        <v>24850000</v>
      </c>
      <c r="AC50" s="2" t="n">
        <v>15230000</v>
      </c>
      <c r="AD50" s="2" t="n">
        <v>1510000</v>
      </c>
      <c r="AE50" s="2" t="n">
        <v>67110</v>
      </c>
      <c r="AF50" s="2" t="n">
        <v>477680</v>
      </c>
    </row>
    <row r="51" ht="16" customHeight="1">
      <c r="A51" s="2" t="inlineStr">
        <is>
          <t>03/11/2026</t>
        </is>
      </c>
      <c r="B51" s="2" t="n">
        <v>406210</v>
      </c>
      <c r="C51" s="2" t="n">
        <v>257990</v>
      </c>
      <c r="D51" s="2" t="n">
        <v>16760</v>
      </c>
      <c r="E51" s="2" t="n">
        <v>12290000</v>
      </c>
      <c r="F51" s="2" t="n">
        <v>339090</v>
      </c>
      <c r="G51" s="2" t="n">
        <v>4620000</v>
      </c>
      <c r="H51" s="2" t="n">
        <v>242860</v>
      </c>
      <c r="I51" s="2" t="n">
        <v>66330</v>
      </c>
      <c r="J51" s="2" t="n">
        <v>62010000</v>
      </c>
      <c r="K51" s="2" t="n">
        <v>1750000</v>
      </c>
      <c r="L51" s="2" t="n">
        <v>213240</v>
      </c>
      <c r="M51" s="2" t="n">
        <v>361950</v>
      </c>
      <c r="N51" s="2" t="n">
        <v>2750000</v>
      </c>
      <c r="O51" s="2" t="n">
        <v>2900000</v>
      </c>
      <c r="P51" s="2" t="n">
        <v>2730000</v>
      </c>
      <c r="Q51" s="2" t="n">
        <v>13800</v>
      </c>
      <c r="R51" s="2" t="n">
        <v>7990000</v>
      </c>
      <c r="S51" s="2" t="n">
        <v>409000</v>
      </c>
      <c r="T51" s="2" t="n">
        <v>238680</v>
      </c>
      <c r="U51" s="2" t="n">
        <v>10840000</v>
      </c>
      <c r="V51" s="2" t="n">
        <v>1420000</v>
      </c>
      <c r="W51" s="2" t="n">
        <v>459630</v>
      </c>
      <c r="X51" s="2" t="n">
        <v>207760</v>
      </c>
      <c r="Y51" t="n">
        <v>57230000</v>
      </c>
      <c r="Z51" s="2" t="n">
        <v>2980000</v>
      </c>
      <c r="AA51" s="2" t="n">
        <v>19950000</v>
      </c>
      <c r="AB51" s="2" t="n">
        <v>15000000</v>
      </c>
      <c r="AC51" s="2" t="n">
        <v>15640000</v>
      </c>
      <c r="AD51" s="2" t="n">
        <v>1220000</v>
      </c>
      <c r="AE51" s="2" t="n">
        <v>77240</v>
      </c>
      <c r="AF51" s="2" t="n">
        <v>390980</v>
      </c>
    </row>
    <row r="52" ht="16" customHeight="1">
      <c r="A52" s="2" t="inlineStr">
        <is>
          <t>03/10/2026</t>
        </is>
      </c>
      <c r="B52" s="2" t="n">
        <v>409040</v>
      </c>
      <c r="C52" s="2" t="n">
        <v>340940</v>
      </c>
      <c r="D52" s="2" t="n">
        <v>22170</v>
      </c>
      <c r="E52" s="2" t="n">
        <v>13660000</v>
      </c>
      <c r="F52" s="2" t="n">
        <v>172090</v>
      </c>
      <c r="G52" s="2" t="n">
        <v>4390000</v>
      </c>
      <c r="H52" s="2" t="n">
        <v>145460</v>
      </c>
      <c r="I52" s="2" t="n">
        <v>83220</v>
      </c>
      <c r="J52" s="2" t="n">
        <v>67300000</v>
      </c>
      <c r="K52" s="2" t="n">
        <v>2080000</v>
      </c>
      <c r="L52" s="2" t="n">
        <v>162450</v>
      </c>
      <c r="M52" s="2" t="n">
        <v>613700</v>
      </c>
      <c r="N52" s="2" t="n">
        <v>3810000</v>
      </c>
      <c r="O52" s="2" t="n">
        <v>2760000</v>
      </c>
      <c r="P52" s="2" t="n">
        <v>1690000</v>
      </c>
      <c r="Q52" s="2" t="n">
        <v>28780</v>
      </c>
      <c r="R52" s="2" t="n">
        <v>11120000</v>
      </c>
      <c r="S52" s="2" t="n">
        <v>562380</v>
      </c>
      <c r="T52" s="2" t="n">
        <v>249700</v>
      </c>
      <c r="U52" s="2" t="n">
        <v>10450000</v>
      </c>
      <c r="V52" s="2" t="n">
        <v>3170000</v>
      </c>
      <c r="W52" s="2" t="n">
        <v>403780</v>
      </c>
      <c r="X52" s="2" t="n">
        <v>161230</v>
      </c>
      <c r="Z52" s="2" t="n">
        <v>4520000</v>
      </c>
      <c r="AA52" s="2" t="n">
        <v>26720000</v>
      </c>
      <c r="AB52" s="2" t="n">
        <v>21970000</v>
      </c>
      <c r="AC52" s="2" t="n">
        <v>18320000</v>
      </c>
      <c r="AD52" s="2" t="n">
        <v>1420000</v>
      </c>
      <c r="AE52" s="2" t="n">
        <v>93010</v>
      </c>
      <c r="AF52" s="2" t="n">
        <v>517000</v>
      </c>
    </row>
    <row r="53" ht="16" customHeight="1">
      <c r="A53" s="2" t="inlineStr">
        <is>
          <t>03/09/2026</t>
        </is>
      </c>
      <c r="B53" s="2" t="n">
        <v>293550</v>
      </c>
      <c r="C53" s="2" t="n">
        <v>333570</v>
      </c>
      <c r="D53" s="2" t="n">
        <v>26780</v>
      </c>
      <c r="E53" s="2" t="n">
        <v>19050000</v>
      </c>
      <c r="F53" s="2" t="n">
        <v>270060</v>
      </c>
      <c r="G53" s="2" t="n">
        <v>3160000</v>
      </c>
      <c r="H53" s="2" t="n">
        <v>153640</v>
      </c>
      <c r="I53" s="2" t="n">
        <v>130950</v>
      </c>
      <c r="J53" s="2" t="n">
        <v>87680000</v>
      </c>
      <c r="K53" s="2" t="n">
        <v>3100000</v>
      </c>
      <c r="L53" s="2" t="n">
        <v>288600</v>
      </c>
      <c r="M53" s="2" t="n">
        <v>1120000</v>
      </c>
      <c r="N53" s="2" t="n">
        <v>3130000</v>
      </c>
      <c r="O53" s="2" t="n">
        <v>3100000</v>
      </c>
      <c r="P53" s="2" t="n">
        <v>2550000</v>
      </c>
      <c r="Q53" s="2" t="n">
        <v>39930</v>
      </c>
      <c r="R53" s="2" t="n">
        <v>11910000</v>
      </c>
      <c r="S53" s="2" t="n">
        <v>749990</v>
      </c>
      <c r="T53" s="2" t="n">
        <v>496530</v>
      </c>
      <c r="U53" s="2" t="n">
        <v>9110000</v>
      </c>
      <c r="V53" s="2" t="n">
        <v>2960000</v>
      </c>
      <c r="W53" s="2" t="n">
        <v>511890</v>
      </c>
      <c r="X53" s="2" t="n">
        <v>313880</v>
      </c>
      <c r="Z53" s="2" t="n">
        <v>6880000</v>
      </c>
      <c r="AA53" s="2" t="n">
        <v>27750000</v>
      </c>
      <c r="AB53" s="2" t="n">
        <v>26220000</v>
      </c>
      <c r="AC53" s="2" t="n">
        <v>20430000</v>
      </c>
      <c r="AD53" s="2" t="n">
        <v>1990000</v>
      </c>
      <c r="AE53" s="2" t="n">
        <v>90370</v>
      </c>
      <c r="AF53" s="2" t="n">
        <v>623600</v>
      </c>
    </row>
    <row r="54" ht="16" customHeight="1">
      <c r="A54" s="2" t="inlineStr">
        <is>
          <t>03/08/2026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>
        <v>41940000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Z54" s="2" t="n"/>
      <c r="AA54" s="2" t="n"/>
      <c r="AB54" s="2" t="n"/>
      <c r="AC54" s="2" t="n"/>
      <c r="AD54" s="2" t="n"/>
      <c r="AE54" s="2" t="n">
        <v>59590</v>
      </c>
      <c r="AF54" s="2" t="n">
        <v>462320</v>
      </c>
    </row>
    <row r="55" ht="16" customHeight="1">
      <c r="A55" s="2" t="inlineStr">
        <is>
          <t>03/07/2026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>
        <v>39860000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Z55" s="2" t="n"/>
      <c r="AA55" s="2" t="n"/>
      <c r="AB55" s="2" t="n"/>
      <c r="AC55" s="2" t="n"/>
      <c r="AD55" s="2" t="n"/>
      <c r="AE55" s="2" t="n">
        <v>43680</v>
      </c>
      <c r="AF55" s="2" t="n">
        <v>217200</v>
      </c>
    </row>
    <row r="56" ht="16" customHeight="1">
      <c r="A56" s="2" t="inlineStr">
        <is>
          <t>03/06/2026</t>
        </is>
      </c>
      <c r="B56" s="2" t="n">
        <v>393890</v>
      </c>
      <c r="C56" s="2" t="n">
        <v>259410</v>
      </c>
      <c r="D56" s="2" t="n">
        <v>15540</v>
      </c>
      <c r="E56" s="2" t="n">
        <v>18920000</v>
      </c>
      <c r="F56" s="2" t="n">
        <v>121610</v>
      </c>
      <c r="G56" s="2" t="n">
        <v>2670000</v>
      </c>
      <c r="H56" s="2" t="n">
        <v>97930</v>
      </c>
      <c r="I56" s="2" t="n">
        <v>161340</v>
      </c>
      <c r="J56" s="2" t="n">
        <v>86570000</v>
      </c>
      <c r="K56" s="2" t="n">
        <v>2360000</v>
      </c>
      <c r="L56" s="2" t="n">
        <v>165090</v>
      </c>
      <c r="M56" s="2" t="n">
        <v>327330</v>
      </c>
      <c r="N56" s="2" t="n">
        <v>3570000</v>
      </c>
      <c r="O56" s="2" t="n">
        <v>2780000</v>
      </c>
      <c r="P56" s="2" t="n">
        <v>3530000</v>
      </c>
      <c r="Q56" s="2" t="n">
        <v>14690</v>
      </c>
      <c r="R56" s="2" t="n">
        <v>14140000</v>
      </c>
      <c r="S56" s="2" t="n">
        <v>458150</v>
      </c>
      <c r="T56" s="2" t="n">
        <v>193010</v>
      </c>
      <c r="U56" s="2" t="n">
        <v>15590000</v>
      </c>
      <c r="V56" s="2" t="n">
        <v>6580000</v>
      </c>
      <c r="W56" s="2" t="n">
        <v>543260</v>
      </c>
      <c r="X56" s="2" t="n">
        <v>220990</v>
      </c>
      <c r="Z56" s="2" t="n">
        <v>3810000</v>
      </c>
      <c r="AA56" s="2" t="n">
        <v>30710000</v>
      </c>
      <c r="AB56" s="2" t="n">
        <v>16570000</v>
      </c>
      <c r="AC56" s="2" t="n">
        <v>19540000</v>
      </c>
      <c r="AD56" s="2" t="n">
        <v>1590000</v>
      </c>
      <c r="AE56" s="2" t="n">
        <v>76770</v>
      </c>
      <c r="AF56" s="2" t="n">
        <v>469560</v>
      </c>
    </row>
    <row r="57" ht="16" customHeight="1">
      <c r="A57" s="2" t="inlineStr">
        <is>
          <t>03/05/2026</t>
        </is>
      </c>
      <c r="B57" s="2" t="n">
        <v>127350</v>
      </c>
      <c r="C57" s="2" t="n">
        <v>266830</v>
      </c>
      <c r="D57" s="2" t="n">
        <v>24170</v>
      </c>
      <c r="E57" s="2" t="n">
        <v>16220000</v>
      </c>
      <c r="F57" s="2" t="n">
        <v>242460</v>
      </c>
      <c r="G57" s="2" t="n">
        <v>1340000</v>
      </c>
      <c r="H57" s="2" t="n">
        <v>108270</v>
      </c>
      <c r="I57" s="2" t="n">
        <v>189140</v>
      </c>
      <c r="J57" s="2" t="n">
        <v>93010000</v>
      </c>
      <c r="K57" s="2" t="n">
        <v>3970000</v>
      </c>
      <c r="L57" s="2" t="n">
        <v>385210</v>
      </c>
      <c r="M57" s="2" t="n">
        <v>753030</v>
      </c>
      <c r="N57" s="2" t="n">
        <v>3820000</v>
      </c>
      <c r="O57" s="2" t="n">
        <v>2960000</v>
      </c>
      <c r="P57" s="2" t="n">
        <v>1860000</v>
      </c>
      <c r="Q57" s="2" t="n">
        <v>25390</v>
      </c>
      <c r="R57" s="2" t="n">
        <v>15790000</v>
      </c>
      <c r="S57" s="2" t="n">
        <v>996250</v>
      </c>
      <c r="T57" s="2" t="n">
        <v>213520</v>
      </c>
      <c r="U57" s="2" t="n">
        <v>9350000</v>
      </c>
      <c r="V57" s="2" t="n">
        <v>7820000</v>
      </c>
      <c r="W57" s="2" t="n">
        <v>621370</v>
      </c>
      <c r="X57" s="2" t="n">
        <v>319470</v>
      </c>
      <c r="Z57" s="2" t="n">
        <v>3840000</v>
      </c>
      <c r="AA57" s="2" t="n">
        <v>21800000</v>
      </c>
      <c r="AB57" s="2" t="n">
        <v>16210000</v>
      </c>
      <c r="AC57" s="2" t="n">
        <v>21290000</v>
      </c>
      <c r="AD57" s="2" t="n">
        <v>1690000</v>
      </c>
      <c r="AE57" s="2" t="n">
        <v>89380</v>
      </c>
      <c r="AF57" s="2" t="n">
        <v>494190</v>
      </c>
    </row>
    <row r="58" ht="16" customHeight="1">
      <c r="A58" s="2" t="inlineStr">
        <is>
          <t>03/04/2026</t>
        </is>
      </c>
      <c r="B58" s="2" t="n">
        <v>491290</v>
      </c>
      <c r="C58" s="2" t="n">
        <v>390430</v>
      </c>
      <c r="D58" s="2" t="n">
        <v>41800</v>
      </c>
      <c r="E58" s="2" t="n">
        <v>14330000</v>
      </c>
      <c r="F58" s="2" t="n">
        <v>347220</v>
      </c>
      <c r="G58" s="2" t="n">
        <v>1510000</v>
      </c>
      <c r="H58" s="2" t="n">
        <v>149530</v>
      </c>
      <c r="I58" s="2" t="n">
        <v>279330</v>
      </c>
      <c r="J58" s="2" t="n">
        <v>116940000</v>
      </c>
      <c r="K58" s="2" t="n">
        <v>5810000</v>
      </c>
      <c r="L58" s="2" t="n">
        <v>441590</v>
      </c>
      <c r="M58" s="2" t="n">
        <v>1370000</v>
      </c>
      <c r="N58" s="2" t="n">
        <v>2440000</v>
      </c>
      <c r="O58" s="2" t="n">
        <v>2260000</v>
      </c>
      <c r="P58" s="2" t="n">
        <v>2180000</v>
      </c>
      <c r="Q58" s="2" t="n">
        <v>48220</v>
      </c>
      <c r="R58" s="2" t="n">
        <v>21610000</v>
      </c>
      <c r="S58" s="2" t="n">
        <v>1300000</v>
      </c>
      <c r="T58" s="2" t="n">
        <v>378570</v>
      </c>
      <c r="U58" s="2" t="n">
        <v>16780000</v>
      </c>
      <c r="V58" s="2" t="n">
        <v>4420000</v>
      </c>
      <c r="W58" s="2" t="n">
        <v>903390</v>
      </c>
      <c r="X58" s="2" t="n">
        <v>538540</v>
      </c>
      <c r="Z58" s="2" t="n">
        <v>3750000</v>
      </c>
      <c r="AA58" s="2" t="n">
        <v>36140000</v>
      </c>
      <c r="AB58" s="2" t="n">
        <v>12260000</v>
      </c>
      <c r="AC58" s="2" t="n">
        <v>37380000</v>
      </c>
      <c r="AD58" s="2" t="n">
        <v>1450000</v>
      </c>
      <c r="AE58" s="2" t="n">
        <v>136550</v>
      </c>
      <c r="AF58" s="2" t="n">
        <v>819540</v>
      </c>
    </row>
    <row r="59" ht="16" customHeight="1">
      <c r="A59" s="2" t="inlineStr">
        <is>
          <t>03/03/2026</t>
        </is>
      </c>
      <c r="B59" s="2" t="n">
        <v>436900</v>
      </c>
      <c r="C59" s="2" t="n">
        <v>274250</v>
      </c>
      <c r="D59" s="2" t="n">
        <v>36670</v>
      </c>
      <c r="E59" s="2" t="n">
        <v>19220000</v>
      </c>
      <c r="F59" s="2" t="n">
        <v>98500</v>
      </c>
      <c r="G59" s="2" t="n">
        <v>2010000</v>
      </c>
      <c r="H59" s="2" t="n">
        <v>107970</v>
      </c>
      <c r="I59" s="2" t="n">
        <v>141910</v>
      </c>
      <c r="J59" s="2" t="n">
        <v>123510000</v>
      </c>
      <c r="K59" s="2" t="n">
        <v>7110000</v>
      </c>
      <c r="L59" s="2" t="n">
        <v>292360</v>
      </c>
      <c r="M59" s="2" t="n">
        <v>917750</v>
      </c>
      <c r="N59" s="2" t="n">
        <v>3880000</v>
      </c>
      <c r="O59" s="2" t="n">
        <v>6970000</v>
      </c>
      <c r="P59" s="2" t="n">
        <v>2170000</v>
      </c>
      <c r="Q59" s="2" t="n">
        <v>143930</v>
      </c>
      <c r="R59" s="2" t="n">
        <v>17940000</v>
      </c>
      <c r="S59" s="2" t="n">
        <v>1150000</v>
      </c>
      <c r="T59" s="2" t="n">
        <v>537910</v>
      </c>
      <c r="U59" s="2" t="n">
        <v>15400000</v>
      </c>
      <c r="V59" s="2" t="n">
        <v>7970000</v>
      </c>
      <c r="W59" s="2" t="n">
        <v>1080000</v>
      </c>
      <c r="X59" s="2" t="n">
        <v>473800</v>
      </c>
      <c r="Z59" s="2" t="n">
        <v>5290000</v>
      </c>
      <c r="AA59" s="2" t="n">
        <v>29370000</v>
      </c>
      <c r="AB59" s="2" t="n">
        <v>25320000</v>
      </c>
      <c r="AC59" s="2" t="n">
        <v>19410000</v>
      </c>
      <c r="AD59" s="2" t="n">
        <v>2140000</v>
      </c>
      <c r="AE59" s="2" t="n">
        <v>80590</v>
      </c>
      <c r="AF59" s="2" t="n">
        <v>591450</v>
      </c>
    </row>
    <row r="60" ht="16" customHeight="1">
      <c r="A60" s="2" t="inlineStr">
        <is>
          <t>03/02/2026</t>
        </is>
      </c>
      <c r="B60" s="2" t="n"/>
      <c r="C60" s="2" t="n"/>
      <c r="D60" s="2" t="n"/>
      <c r="E60" s="2" t="n">
        <v>33990000</v>
      </c>
      <c r="F60" s="2" t="n">
        <v>95380</v>
      </c>
      <c r="G60" s="2" t="n">
        <v>1430000</v>
      </c>
      <c r="H60" s="2" t="n">
        <v>100240</v>
      </c>
      <c r="I60" s="2" t="n">
        <v>214190</v>
      </c>
      <c r="J60" s="2" t="n">
        <v>75390000</v>
      </c>
      <c r="K60" s="2" t="n"/>
      <c r="L60" s="2" t="n"/>
      <c r="M60" s="2" t="n"/>
      <c r="N60" s="2" t="n">
        <v>3340000</v>
      </c>
      <c r="O60" s="2" t="n">
        <v>2570000</v>
      </c>
      <c r="P60" s="2" t="n">
        <v>2830000</v>
      </c>
      <c r="Q60" s="2" t="n"/>
      <c r="R60" s="2" t="n"/>
      <c r="S60" s="2" t="n"/>
      <c r="T60" s="2" t="n"/>
      <c r="U60" s="2" t="n"/>
      <c r="V60" s="2" t="n"/>
      <c r="W60" s="2" t="n"/>
      <c r="X60" s="2" t="n"/>
      <c r="Z60" s="2" t="n">
        <v>4880000</v>
      </c>
      <c r="AA60" s="2" t="n">
        <v>24570000</v>
      </c>
      <c r="AB60" s="2" t="n">
        <v>17800000</v>
      </c>
      <c r="AC60" s="2" t="n">
        <v>25460000</v>
      </c>
      <c r="AD60" s="2" t="n">
        <v>1780000</v>
      </c>
      <c r="AE60" s="2" t="n">
        <v>108800</v>
      </c>
      <c r="AF60" s="2" t="n">
        <v>668310</v>
      </c>
    </row>
    <row r="61" ht="16" customHeight="1">
      <c r="A61" s="2" t="inlineStr">
        <is>
          <t>03/01/2026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>
        <v>41550000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Z61" s="2" t="n"/>
      <c r="AA61" s="2" t="n"/>
      <c r="AB61" s="2" t="n"/>
      <c r="AC61" s="2" t="n"/>
      <c r="AD61" s="2" t="n"/>
      <c r="AE61" s="2" t="n">
        <v>71350</v>
      </c>
      <c r="AF61" s="2" t="n">
        <v>624990</v>
      </c>
    </row>
    <row r="62" ht="16" customHeight="1">
      <c r="A62" s="2" t="inlineStr">
        <is>
          <t>02/28/2026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>
        <v>67500000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Z62" s="2" t="n"/>
      <c r="AA62" s="2" t="n"/>
      <c r="AB62" s="2" t="n"/>
      <c r="AC62" s="2" t="n"/>
      <c r="AD62" s="2" t="n"/>
      <c r="AE62" s="2" t="n">
        <v>78940</v>
      </c>
      <c r="AF62" s="2" t="n">
        <v>540940</v>
      </c>
    </row>
    <row r="63" ht="16" customHeight="1">
      <c r="A63" s="2" t="inlineStr">
        <is>
          <t>02/27/2026</t>
        </is>
      </c>
      <c r="B63" s="2" t="n">
        <v>426280</v>
      </c>
      <c r="C63" s="2" t="n">
        <v>255440</v>
      </c>
      <c r="D63" s="2" t="n">
        <v>30180</v>
      </c>
      <c r="E63" s="2" t="n">
        <v>26600000</v>
      </c>
      <c r="F63" s="2" t="n">
        <v>275610</v>
      </c>
      <c r="G63" s="2" t="n">
        <v>898550</v>
      </c>
      <c r="H63" s="2" t="n">
        <v>141510</v>
      </c>
      <c r="I63" s="2" t="n">
        <v>146150</v>
      </c>
      <c r="J63" s="2" t="n">
        <v>88690000</v>
      </c>
      <c r="K63" s="2" t="n">
        <v>2900000</v>
      </c>
      <c r="L63" s="2" t="n">
        <v>251680</v>
      </c>
      <c r="M63" s="2" t="n">
        <v>393160</v>
      </c>
      <c r="N63" s="2" t="n">
        <v>4830000</v>
      </c>
      <c r="O63" s="2" t="n">
        <v>2010000</v>
      </c>
      <c r="P63" s="2" t="n">
        <v>2120000</v>
      </c>
      <c r="Q63" s="2" t="n">
        <v>24310</v>
      </c>
      <c r="R63" s="2" t="n">
        <v>9120000</v>
      </c>
      <c r="S63" s="2" t="n">
        <v>865220</v>
      </c>
      <c r="T63" s="2" t="n">
        <v>520610</v>
      </c>
      <c r="U63" s="2" t="n">
        <v>17840000</v>
      </c>
      <c r="V63" s="2" t="n">
        <v>5040000</v>
      </c>
      <c r="W63" s="2" t="n">
        <v>1070000</v>
      </c>
      <c r="X63" s="2" t="n">
        <v>227750</v>
      </c>
      <c r="Z63" s="2" t="n">
        <v>4240000</v>
      </c>
      <c r="AA63" s="2" t="n">
        <v>17420000</v>
      </c>
      <c r="AB63" s="2" t="n">
        <v>17490000</v>
      </c>
      <c r="AC63" s="2" t="n">
        <v>14030000</v>
      </c>
      <c r="AD63" s="2" t="n">
        <v>1070000</v>
      </c>
      <c r="AE63" s="2" t="n">
        <v>75210</v>
      </c>
      <c r="AF63" s="2" t="n">
        <v>486480</v>
      </c>
    </row>
    <row r="64" ht="16" customHeight="1">
      <c r="A64" s="2" t="inlineStr">
        <is>
          <t>02/26/2026</t>
        </is>
      </c>
      <c r="B64" s="2" t="n">
        <v>168060</v>
      </c>
      <c r="C64" s="2" t="n">
        <v>283590</v>
      </c>
      <c r="D64" s="2" t="n">
        <v>28640</v>
      </c>
      <c r="E64" s="2" t="n">
        <v>13660000</v>
      </c>
      <c r="F64" s="2" t="n">
        <v>102340</v>
      </c>
      <c r="G64" s="2" t="n">
        <v>795390</v>
      </c>
      <c r="H64" s="2" t="n">
        <v>54730</v>
      </c>
      <c r="I64" s="2" t="n">
        <v>37920</v>
      </c>
      <c r="J64" s="2" t="n">
        <v>83550000</v>
      </c>
      <c r="K64" s="2" t="n">
        <v>3280000</v>
      </c>
      <c r="L64" s="2" t="n">
        <v>282920</v>
      </c>
      <c r="M64" s="2" t="n">
        <v>377450</v>
      </c>
      <c r="N64" s="2" t="n">
        <v>2340000</v>
      </c>
      <c r="O64" s="2" t="n">
        <v>1170000</v>
      </c>
      <c r="P64" s="2" t="n">
        <v>1580000</v>
      </c>
      <c r="Q64" s="2" t="n">
        <v>29270</v>
      </c>
      <c r="R64" s="2" t="n">
        <v>12470000</v>
      </c>
      <c r="S64" s="2" t="n">
        <v>1220000</v>
      </c>
      <c r="T64" s="2" t="n">
        <v>266710</v>
      </c>
      <c r="U64" s="2" t="n">
        <v>14450000</v>
      </c>
      <c r="V64" s="2" t="n">
        <v>5260000</v>
      </c>
      <c r="W64" s="2" t="n">
        <v>1020000</v>
      </c>
      <c r="X64" s="2" t="n">
        <v>186480</v>
      </c>
      <c r="Z64" s="2" t="n">
        <v>7800000</v>
      </c>
      <c r="AA64" s="2" t="n">
        <v>20180000</v>
      </c>
      <c r="AB64" s="2" t="n">
        <v>16730000</v>
      </c>
      <c r="AC64" s="2" t="n">
        <v>18110000</v>
      </c>
      <c r="AD64" s="2" t="n">
        <v>1170000</v>
      </c>
      <c r="AE64" s="2" t="n">
        <v>72070</v>
      </c>
      <c r="AF64" s="2" t="n">
        <v>482750</v>
      </c>
    </row>
    <row r="65" ht="16" customHeight="1">
      <c r="A65" s="2" t="inlineStr">
        <is>
          <t>02/25/2026</t>
        </is>
      </c>
      <c r="B65" s="2" t="n">
        <v>90690</v>
      </c>
      <c r="C65" s="2" t="n">
        <v>365460</v>
      </c>
      <c r="D65" s="2" t="n">
        <v>51870</v>
      </c>
      <c r="E65" s="2" t="n">
        <v>12530000</v>
      </c>
      <c r="F65" s="2" t="n">
        <v>83730</v>
      </c>
      <c r="G65" s="2" t="n">
        <v>1250000</v>
      </c>
      <c r="H65" s="2" t="n">
        <v>178450</v>
      </c>
      <c r="I65" s="2" t="n">
        <v>106170</v>
      </c>
      <c r="J65" s="2" t="n">
        <v>122420000</v>
      </c>
      <c r="K65" s="2" t="n">
        <v>3510000</v>
      </c>
      <c r="L65" s="2" t="n">
        <v>308940</v>
      </c>
      <c r="M65" s="2" t="n">
        <v>897950</v>
      </c>
      <c r="N65" s="2" t="n">
        <v>2020000</v>
      </c>
      <c r="O65" s="2" t="n">
        <v>1590000</v>
      </c>
      <c r="P65" s="2" t="n">
        <v>1200000</v>
      </c>
      <c r="Q65" s="2" t="n">
        <v>21910</v>
      </c>
      <c r="R65" s="2" t="n">
        <v>5710000</v>
      </c>
      <c r="S65" s="2" t="n">
        <v>853900</v>
      </c>
      <c r="T65" s="2" t="n">
        <v>210330</v>
      </c>
      <c r="U65" s="2" t="n">
        <v>12170000</v>
      </c>
      <c r="V65" s="2" t="n">
        <v>6960000</v>
      </c>
      <c r="W65" s="2" t="n">
        <v>898730</v>
      </c>
      <c r="X65" s="2" t="n">
        <v>329760</v>
      </c>
      <c r="Z65" s="2" t="n">
        <v>2910000</v>
      </c>
      <c r="AA65" s="2" t="n">
        <v>21820000</v>
      </c>
      <c r="AB65" s="2" t="n">
        <v>13080000</v>
      </c>
      <c r="AC65" s="2" t="n">
        <v>24150000</v>
      </c>
      <c r="AD65" s="2" t="n">
        <v>744110</v>
      </c>
      <c r="AE65" s="2" t="n">
        <v>105590</v>
      </c>
      <c r="AF65" s="2" t="n">
        <v>763310</v>
      </c>
    </row>
    <row r="66" ht="16" customHeight="1">
      <c r="A66" s="2" t="inlineStr">
        <is>
          <t>02/24/2026</t>
        </is>
      </c>
      <c r="B66" s="2" t="n">
        <v>365230</v>
      </c>
      <c r="C66" s="2" t="n">
        <v>265780</v>
      </c>
      <c r="D66" s="2" t="n">
        <v>20790</v>
      </c>
      <c r="E66" s="2" t="n">
        <v>12170000</v>
      </c>
      <c r="F66" s="2" t="n">
        <v>121730</v>
      </c>
      <c r="G66" s="2" t="n">
        <v>635530</v>
      </c>
      <c r="H66" s="2" t="n">
        <v>183600</v>
      </c>
      <c r="I66" s="2" t="n">
        <v>145310</v>
      </c>
      <c r="J66" s="2" t="n">
        <v>79810000</v>
      </c>
      <c r="K66" s="2" t="n">
        <v>3890000</v>
      </c>
      <c r="L66" s="2" t="n">
        <v>243530</v>
      </c>
      <c r="M66" s="2" t="n">
        <v>661810</v>
      </c>
      <c r="N66" s="2" t="n">
        <v>2630000</v>
      </c>
      <c r="O66" s="2" t="n">
        <v>1390000</v>
      </c>
      <c r="P66" s="2" t="n">
        <v>1050000</v>
      </c>
      <c r="Q66" s="2" t="n">
        <v>22960</v>
      </c>
      <c r="R66" s="2" t="n">
        <v>4890000</v>
      </c>
      <c r="S66" s="2" t="n">
        <v>531750</v>
      </c>
      <c r="T66" s="2" t="n">
        <v>393970</v>
      </c>
      <c r="U66" s="2" t="n">
        <v>7580000</v>
      </c>
      <c r="V66" s="2" t="n">
        <v>5320000</v>
      </c>
      <c r="W66" s="2" t="n">
        <v>653550</v>
      </c>
      <c r="X66" s="2" t="n">
        <v>229830</v>
      </c>
      <c r="Z66" s="2" t="n">
        <v>3400000</v>
      </c>
      <c r="AA66" s="2" t="n">
        <v>16290000</v>
      </c>
      <c r="AB66" s="2" t="n">
        <v>7910000</v>
      </c>
      <c r="AC66" s="2" t="n">
        <v>15350000</v>
      </c>
      <c r="AD66" s="2" t="n">
        <v>845360</v>
      </c>
      <c r="AE66" s="2" t="n">
        <v>79660</v>
      </c>
      <c r="AF66" s="2" t="n">
        <v>489810</v>
      </c>
    </row>
    <row r="67" ht="16" customHeight="1">
      <c r="A67" s="2" t="inlineStr">
        <is>
          <t>02/23/2026</t>
        </is>
      </c>
      <c r="B67" s="2" t="n">
        <v>374260</v>
      </c>
      <c r="C67" s="2" t="n">
        <v>867610</v>
      </c>
      <c r="D67" s="2" t="n">
        <v>26360</v>
      </c>
      <c r="E67" s="2" t="n">
        <v>13470000</v>
      </c>
      <c r="F67" s="2" t="n">
        <v>69750</v>
      </c>
      <c r="G67" s="2" t="n">
        <v>774900</v>
      </c>
      <c r="H67" s="2" t="n">
        <v>121960</v>
      </c>
      <c r="I67" s="2" t="n">
        <v>92620</v>
      </c>
      <c r="J67" s="2" t="n">
        <v>101980000</v>
      </c>
      <c r="K67" s="2" t="n">
        <v>4150000</v>
      </c>
      <c r="L67" s="2" t="n">
        <v>1500000</v>
      </c>
      <c r="M67" s="2" t="n">
        <v>354510</v>
      </c>
      <c r="N67" s="2" t="n">
        <v>2860000</v>
      </c>
      <c r="O67" s="2" t="n">
        <v>8150000</v>
      </c>
      <c r="P67" s="2" t="n">
        <v>2780000</v>
      </c>
      <c r="Q67" s="2" t="n">
        <v>106260</v>
      </c>
      <c r="R67" s="2" t="n">
        <v>10740000</v>
      </c>
      <c r="S67" s="2" t="n">
        <v>815140</v>
      </c>
      <c r="T67" s="2" t="n">
        <v>154490</v>
      </c>
      <c r="U67" s="2" t="n">
        <v>8920000</v>
      </c>
      <c r="V67" s="2" t="n">
        <v>5250000</v>
      </c>
      <c r="W67" s="2" t="n">
        <v>955730</v>
      </c>
      <c r="X67" s="2" t="n">
        <v>383690</v>
      </c>
      <c r="Z67" s="2" t="n">
        <v>4940000</v>
      </c>
      <c r="AA67" s="2" t="n">
        <v>21140000</v>
      </c>
      <c r="AB67" s="2" t="n">
        <v>16690000</v>
      </c>
      <c r="AC67" s="2" t="n">
        <v>18860000</v>
      </c>
      <c r="AD67" s="2" t="n">
        <v>1470000</v>
      </c>
      <c r="AE67" s="2" t="n">
        <v>108840</v>
      </c>
      <c r="AF67" s="2" t="n">
        <v>614560</v>
      </c>
    </row>
    <row r="68" ht="16" customHeight="1">
      <c r="A68" s="2" t="inlineStr">
        <is>
          <t>02/22/2026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>
        <v>27500000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Z68" s="2" t="n"/>
      <c r="AA68" s="2" t="n"/>
      <c r="AB68" s="2" t="n"/>
      <c r="AC68" s="2" t="n"/>
      <c r="AD68" s="2" t="n"/>
      <c r="AE68" s="2" t="n">
        <v>32600</v>
      </c>
      <c r="AF68" s="2" t="n">
        <v>183140</v>
      </c>
    </row>
    <row r="69" ht="16" customHeight="1">
      <c r="A69" s="2" t="inlineStr">
        <is>
          <t>02/21/2026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>
        <v>28940000</v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Z69" s="2" t="n"/>
      <c r="AA69" s="2" t="n"/>
      <c r="AB69" s="2" t="n"/>
      <c r="AC69" s="2" t="n"/>
      <c r="AD69" s="2" t="n"/>
      <c r="AE69" s="2" t="n">
        <v>31400</v>
      </c>
      <c r="AF69" s="2" t="n">
        <v>210760</v>
      </c>
    </row>
    <row r="70" ht="16" customHeight="1">
      <c r="A70" s="2" t="inlineStr">
        <is>
          <t>02/20/2026</t>
        </is>
      </c>
      <c r="B70" s="2" t="n">
        <v>413800</v>
      </c>
      <c r="C70" s="2" t="n">
        <v>342030</v>
      </c>
      <c r="D70" s="2" t="n">
        <v>23370</v>
      </c>
      <c r="E70" s="2" t="n">
        <v>13490000</v>
      </c>
      <c r="F70" s="2" t="n">
        <v>89220</v>
      </c>
      <c r="G70" s="2" t="n">
        <v>461460</v>
      </c>
      <c r="H70" s="2" t="n">
        <v>46590</v>
      </c>
      <c r="I70" s="2" t="n">
        <v>79570</v>
      </c>
      <c r="J70" s="2" t="n">
        <v>60190000</v>
      </c>
      <c r="K70" s="2" t="n">
        <v>3010000</v>
      </c>
      <c r="L70" s="2" t="n">
        <v>206690</v>
      </c>
      <c r="M70" s="2" t="n">
        <v>354490</v>
      </c>
      <c r="N70" s="2" t="n">
        <v>2030000</v>
      </c>
      <c r="O70" s="2" t="n">
        <v>2490000</v>
      </c>
      <c r="P70" s="2" t="n">
        <v>1530000</v>
      </c>
      <c r="Q70" s="2" t="n">
        <v>21410</v>
      </c>
      <c r="R70" s="2" t="n">
        <v>9000000</v>
      </c>
      <c r="S70" s="2" t="n">
        <v>656670</v>
      </c>
      <c r="T70" s="2" t="n">
        <v>204030</v>
      </c>
      <c r="U70" s="2" t="n">
        <v>10930000</v>
      </c>
      <c r="V70" s="2" t="n">
        <v>4970000</v>
      </c>
      <c r="W70" s="2" t="n">
        <v>726780</v>
      </c>
      <c r="X70" s="2" t="n">
        <v>202840</v>
      </c>
      <c r="Z70" s="2" t="n">
        <v>6560000</v>
      </c>
      <c r="AA70" s="2" t="n">
        <v>19600000</v>
      </c>
      <c r="AB70" s="2" t="n">
        <v>13510000</v>
      </c>
      <c r="AC70" s="2" t="n">
        <v>17630000</v>
      </c>
      <c r="AD70" s="2" t="n">
        <v>1240000</v>
      </c>
      <c r="AE70" s="2" t="n">
        <v>90380</v>
      </c>
      <c r="AF70" s="2" t="n">
        <v>443850</v>
      </c>
    </row>
    <row r="71" ht="16" customHeight="1">
      <c r="A71" s="2" t="inlineStr">
        <is>
          <t>02/19/2026</t>
        </is>
      </c>
      <c r="B71" s="2" t="n">
        <v>471220</v>
      </c>
      <c r="C71" s="2" t="n">
        <v>532410</v>
      </c>
      <c r="D71" s="2" t="n">
        <v>30170</v>
      </c>
      <c r="E71" s="2" t="n">
        <v>11290000</v>
      </c>
      <c r="F71" s="2" t="n">
        <v>64310</v>
      </c>
      <c r="G71" s="2" t="n">
        <v>419300</v>
      </c>
      <c r="H71" s="2" t="n">
        <v>150830</v>
      </c>
      <c r="I71" s="2" t="n">
        <v>31590</v>
      </c>
      <c r="J71" s="2" t="n">
        <v>50220000</v>
      </c>
      <c r="K71" s="2" t="n">
        <v>3240000</v>
      </c>
      <c r="L71" s="2" t="n">
        <v>227690</v>
      </c>
      <c r="M71" s="2" t="n">
        <v>504780</v>
      </c>
      <c r="N71" s="2" t="n">
        <v>2100000</v>
      </c>
      <c r="O71" s="2" t="n">
        <v>1530000</v>
      </c>
      <c r="P71" s="2" t="n">
        <v>1660000</v>
      </c>
      <c r="Q71" s="2" t="n">
        <v>30420</v>
      </c>
      <c r="R71" s="2" t="n">
        <v>10220000</v>
      </c>
      <c r="S71" s="2" t="n">
        <v>689220</v>
      </c>
      <c r="T71" s="2" t="n">
        <v>382170</v>
      </c>
      <c r="U71" s="2" t="n">
        <v>13060000</v>
      </c>
      <c r="V71" s="2" t="n">
        <v>3950000</v>
      </c>
      <c r="W71" s="2" t="n">
        <v>945480</v>
      </c>
      <c r="X71" s="2" t="n">
        <v>168790</v>
      </c>
      <c r="Z71" s="2" t="n">
        <v>4000000</v>
      </c>
      <c r="AA71" s="2" t="n">
        <v>17600000</v>
      </c>
      <c r="AB71" s="2" t="n">
        <v>8580000</v>
      </c>
      <c r="AC71" s="2" t="n">
        <v>15460000</v>
      </c>
      <c r="AD71" s="2" t="n">
        <v>965600</v>
      </c>
      <c r="AE71" s="2" t="n">
        <v>53720</v>
      </c>
      <c r="AF71" s="2" t="n">
        <v>360180</v>
      </c>
    </row>
    <row r="72" ht="16" customHeight="1">
      <c r="A72" s="2" t="inlineStr">
        <is>
          <t>02/18/2026</t>
        </is>
      </c>
      <c r="B72" s="2" t="n"/>
      <c r="C72" s="2" t="n"/>
      <c r="D72" s="2" t="n"/>
      <c r="E72" s="2" t="n">
        <v>10210000</v>
      </c>
      <c r="F72" s="2" t="n">
        <v>123510</v>
      </c>
      <c r="G72" s="2" t="n">
        <v>634930</v>
      </c>
      <c r="H72" s="2" t="n">
        <v>127190</v>
      </c>
      <c r="I72" s="2" t="n">
        <v>94130</v>
      </c>
      <c r="J72" s="2" t="n">
        <v>46100000</v>
      </c>
      <c r="K72" s="2" t="n"/>
      <c r="L72" s="2" t="n"/>
      <c r="M72" s="2" t="n"/>
      <c r="N72" s="2" t="n">
        <v>2990000</v>
      </c>
      <c r="O72" s="2" t="n">
        <v>1520000</v>
      </c>
      <c r="P72" s="2" t="n">
        <v>1190000</v>
      </c>
      <c r="Q72" s="2" t="n"/>
      <c r="R72" s="2" t="n"/>
      <c r="S72" s="2" t="n"/>
      <c r="T72" s="2" t="n"/>
      <c r="U72" s="2" t="n"/>
      <c r="V72" s="2" t="n"/>
      <c r="W72" s="2" t="n"/>
      <c r="X72" s="2" t="n"/>
      <c r="Z72" s="2" t="n">
        <v>4930000</v>
      </c>
      <c r="AA72" s="2" t="n">
        <v>18600000</v>
      </c>
      <c r="AB72" s="2" t="n">
        <v>8140000.000000001</v>
      </c>
      <c r="AC72" s="2" t="n">
        <v>17310000</v>
      </c>
      <c r="AD72" s="2" t="n">
        <v>1170000</v>
      </c>
      <c r="AE72" s="2" t="n">
        <v>56700</v>
      </c>
      <c r="AF72" s="2" t="n">
        <v>442860</v>
      </c>
    </row>
    <row r="73" ht="16" customHeight="1">
      <c r="A73" s="2" t="inlineStr">
        <is>
          <t>02/17/2026</t>
        </is>
      </c>
      <c r="B73" s="2" t="n"/>
      <c r="C73" s="2" t="n"/>
      <c r="D73" s="2" t="n"/>
      <c r="E73" s="2" t="n">
        <v>14980000</v>
      </c>
      <c r="F73" s="2" t="n">
        <v>71090</v>
      </c>
      <c r="G73" s="2" t="n">
        <v>1100000</v>
      </c>
      <c r="H73" s="2" t="n">
        <v>277970</v>
      </c>
      <c r="I73" s="2" t="n">
        <v>93660</v>
      </c>
      <c r="J73" s="2" t="n">
        <v>28870000</v>
      </c>
      <c r="K73" s="2" t="n"/>
      <c r="L73" s="2" t="n"/>
      <c r="M73" s="2" t="n"/>
      <c r="N73" s="2" t="n">
        <v>4430000</v>
      </c>
      <c r="O73" s="2" t="n">
        <v>9990000</v>
      </c>
      <c r="P73" s="2" t="n">
        <v>3370000</v>
      </c>
      <c r="Q73" s="2" t="n"/>
      <c r="R73" s="2" t="n"/>
      <c r="S73" s="2" t="n"/>
      <c r="T73" s="2" t="n"/>
      <c r="U73" s="2" t="n"/>
      <c r="V73" s="2" t="n"/>
      <c r="W73" s="2" t="n"/>
      <c r="X73" s="2" t="n"/>
      <c r="Z73" s="2" t="n">
        <v>10220000</v>
      </c>
      <c r="AA73" s="2" t="n">
        <v>32700000</v>
      </c>
      <c r="AB73" s="2" t="n">
        <v>11550000</v>
      </c>
      <c r="AC73" s="2" t="n">
        <v>18880000</v>
      </c>
      <c r="AD73" s="2" t="n">
        <v>1870000</v>
      </c>
      <c r="AE73" s="2" t="n">
        <v>54940</v>
      </c>
      <c r="AF73" s="2" t="n">
        <v>451670</v>
      </c>
    </row>
    <row r="74" ht="16" customHeight="1">
      <c r="A74" s="2" t="inlineStr">
        <is>
          <t>02/16/2026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>
        <v>43480000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Z74" s="2" t="n"/>
      <c r="AA74" s="2" t="n"/>
      <c r="AB74" s="2" t="n"/>
      <c r="AC74" s="2" t="n"/>
      <c r="AD74" s="2" t="n"/>
      <c r="AE74" s="2" t="n">
        <v>52190</v>
      </c>
      <c r="AF74" s="2" t="n">
        <v>409070</v>
      </c>
    </row>
    <row r="75" ht="16" customHeight="1">
      <c r="A75" s="2" t="inlineStr">
        <is>
          <t>02/15/2026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>
        <v>58180000</v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Z75" s="2" t="n"/>
      <c r="AA75" s="2" t="n"/>
      <c r="AB75" s="2" t="n"/>
      <c r="AC75" s="2" t="n"/>
      <c r="AD75" s="2" t="n"/>
      <c r="AE75" s="2" t="n">
        <v>59220</v>
      </c>
      <c r="AF75" s="2" t="n">
        <v>911140</v>
      </c>
    </row>
    <row r="76" ht="16" customHeight="1">
      <c r="A76" s="2" t="inlineStr">
        <is>
          <t>02/14/2026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>
        <v>44800000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Z76" s="2" t="n"/>
      <c r="AA76" s="2" t="n"/>
      <c r="AB76" s="2" t="n"/>
      <c r="AC76" s="2" t="n"/>
      <c r="AD76" s="2" t="n"/>
      <c r="AE76" s="2" t="n">
        <v>56530</v>
      </c>
      <c r="AF76" s="2" t="n">
        <v>269810</v>
      </c>
    </row>
    <row r="77" ht="16" customHeight="1">
      <c r="A77" s="2" t="inlineStr">
        <is>
          <t>02/13/2026</t>
        </is>
      </c>
      <c r="B77" s="2" t="n">
        <v>434140</v>
      </c>
      <c r="C77" s="2" t="n">
        <v>362300</v>
      </c>
      <c r="D77" s="2" t="n">
        <v>21150</v>
      </c>
      <c r="E77" s="2" t="n">
        <v>14920000</v>
      </c>
      <c r="F77" s="2" t="n">
        <v>155860</v>
      </c>
      <c r="G77" s="2" t="n">
        <v>1040000</v>
      </c>
      <c r="H77" s="2" t="n">
        <v>156350</v>
      </c>
      <c r="I77" s="2" t="n">
        <v>137680</v>
      </c>
      <c r="J77" s="2" t="n">
        <v>53290000</v>
      </c>
      <c r="K77" s="2" t="n">
        <v>3420000</v>
      </c>
      <c r="L77" s="2" t="n">
        <v>188090</v>
      </c>
      <c r="M77" s="2" t="n">
        <v>468770</v>
      </c>
      <c r="N77" s="2" t="n">
        <v>3040000</v>
      </c>
      <c r="O77" s="2" t="n">
        <v>2400000</v>
      </c>
      <c r="P77" s="2" t="n">
        <v>1200000</v>
      </c>
      <c r="Q77" s="2" t="n">
        <v>20720</v>
      </c>
      <c r="R77" s="2" t="n">
        <v>5800000</v>
      </c>
      <c r="S77" s="2" t="n">
        <v>984060</v>
      </c>
      <c r="T77" s="2" t="n">
        <v>392430</v>
      </c>
      <c r="U77" s="2" t="n">
        <v>15160000</v>
      </c>
      <c r="V77" s="2" t="n">
        <v>5020000</v>
      </c>
      <c r="W77" s="2" t="n">
        <v>612140</v>
      </c>
      <c r="X77" s="2" t="n">
        <v>128290</v>
      </c>
      <c r="Z77" s="2" t="n">
        <v>5640000</v>
      </c>
      <c r="AA77" s="2" t="n">
        <v>29150000</v>
      </c>
      <c r="AB77" s="2" t="n">
        <v>11640000</v>
      </c>
      <c r="AC77" s="2" t="n">
        <v>24570000</v>
      </c>
      <c r="AD77" s="2" t="n">
        <v>1850000</v>
      </c>
      <c r="AE77" s="2" t="n">
        <v>70100</v>
      </c>
      <c r="AF77" s="2" t="n">
        <v>528120</v>
      </c>
    </row>
    <row r="78" ht="16" customHeight="1">
      <c r="A78" s="2" t="inlineStr">
        <is>
          <t>02/12/2026</t>
        </is>
      </c>
      <c r="B78" s="2" t="n">
        <v>516090</v>
      </c>
      <c r="C78" s="2" t="n">
        <v>367380</v>
      </c>
      <c r="D78" s="2" t="n">
        <v>20770</v>
      </c>
      <c r="E78" s="2" t="n">
        <v>16590000</v>
      </c>
      <c r="F78" s="2" t="n">
        <v>102860</v>
      </c>
      <c r="G78" s="2" t="n">
        <v>1990000</v>
      </c>
      <c r="H78" s="2" t="n">
        <v>210210</v>
      </c>
      <c r="I78" s="2" t="n">
        <v>93240</v>
      </c>
      <c r="J78" s="2" t="n">
        <v>90340000</v>
      </c>
      <c r="K78" s="2" t="n">
        <v>2610000</v>
      </c>
      <c r="L78" s="2" t="n">
        <v>150810</v>
      </c>
      <c r="M78" s="2" t="n">
        <v>489220</v>
      </c>
      <c r="N78" s="2" t="n">
        <v>3020000</v>
      </c>
      <c r="O78" s="2" t="n">
        <v>2220000</v>
      </c>
      <c r="P78" s="2" t="n">
        <v>1240000</v>
      </c>
      <c r="Q78" s="2" t="n">
        <v>16600</v>
      </c>
      <c r="R78" s="2" t="n">
        <v>4490000</v>
      </c>
      <c r="S78" s="2" t="n">
        <v>539870</v>
      </c>
      <c r="T78" s="2" t="n">
        <v>612500</v>
      </c>
      <c r="U78" s="2" t="n">
        <v>11610000</v>
      </c>
      <c r="V78" s="2" t="n">
        <v>2680000</v>
      </c>
      <c r="W78" s="2" t="n">
        <v>573580</v>
      </c>
      <c r="X78" s="2" t="n">
        <v>212330</v>
      </c>
      <c r="Z78" s="2" t="n">
        <v>7340000</v>
      </c>
      <c r="AA78" s="2" t="n">
        <v>23200000</v>
      </c>
      <c r="AB78" s="2" t="n">
        <v>13390000</v>
      </c>
      <c r="AC78" s="2" t="n">
        <v>20960000</v>
      </c>
      <c r="AD78" s="2" t="n">
        <v>2020000</v>
      </c>
      <c r="AE78" s="2" t="n">
        <v>79760</v>
      </c>
      <c r="AF78" s="2" t="n">
        <v>530210</v>
      </c>
    </row>
    <row r="79" ht="16" customHeight="1">
      <c r="A79" s="2" t="inlineStr">
        <is>
          <t>02/11/2026</t>
        </is>
      </c>
      <c r="B79" s="2" t="n">
        <v>367600</v>
      </c>
      <c r="C79" s="2" t="n">
        <v>484890</v>
      </c>
      <c r="D79" s="2" t="n">
        <v>34680</v>
      </c>
      <c r="E79" s="2" t="n">
        <v>12580000</v>
      </c>
      <c r="F79" s="2" t="n">
        <v>330550</v>
      </c>
      <c r="G79" s="2" t="n">
        <v>930440</v>
      </c>
      <c r="H79" s="2" t="n">
        <v>234960</v>
      </c>
      <c r="I79" s="2" t="n">
        <v>105920</v>
      </c>
      <c r="J79" s="2" t="n">
        <v>86250000</v>
      </c>
      <c r="K79" s="2" t="n">
        <v>2350000</v>
      </c>
      <c r="L79" s="2" t="n">
        <v>184410</v>
      </c>
      <c r="M79" s="2" t="n">
        <v>342810</v>
      </c>
      <c r="N79" s="2" t="n">
        <v>3010000</v>
      </c>
      <c r="O79" s="2" t="n">
        <v>2010000</v>
      </c>
      <c r="P79" s="2" t="n">
        <v>1520000</v>
      </c>
      <c r="Q79" s="2" t="n">
        <v>81800</v>
      </c>
      <c r="R79" s="2" t="n">
        <v>4270000</v>
      </c>
      <c r="S79" s="2" t="n">
        <v>490290</v>
      </c>
      <c r="T79" s="2" t="n">
        <v>195070</v>
      </c>
      <c r="U79" s="2" t="n">
        <v>7670000</v>
      </c>
      <c r="V79" s="2" t="n">
        <v>3870000</v>
      </c>
      <c r="W79" s="2" t="n">
        <v>544980</v>
      </c>
      <c r="X79" s="2" t="n">
        <v>346600</v>
      </c>
      <c r="Z79" s="2" t="n">
        <v>3900000</v>
      </c>
      <c r="AA79" s="2" t="n">
        <v>23180000</v>
      </c>
      <c r="AB79" s="2" t="n">
        <v>10380000</v>
      </c>
      <c r="AC79" s="2" t="n">
        <v>25840000</v>
      </c>
      <c r="AD79" s="2" t="n">
        <v>1090000</v>
      </c>
      <c r="AE79" s="2" t="n">
        <v>89970</v>
      </c>
      <c r="AF79" s="2" t="n">
        <v>637030</v>
      </c>
    </row>
    <row r="80" ht="16" customHeight="1">
      <c r="A80" s="2" t="inlineStr">
        <is>
          <t>02/10/2026</t>
        </is>
      </c>
      <c r="B80" s="2" t="n">
        <v>382400</v>
      </c>
      <c r="C80" s="2" t="n">
        <v>457120</v>
      </c>
      <c r="D80" s="2" t="n">
        <v>20690</v>
      </c>
      <c r="E80" s="2" t="n">
        <v>14000000</v>
      </c>
      <c r="F80" s="2" t="n">
        <v>299640</v>
      </c>
      <c r="G80" s="2" t="n">
        <v>924080</v>
      </c>
      <c r="H80" s="2" t="n">
        <v>295370</v>
      </c>
      <c r="I80" s="2" t="n">
        <v>116020</v>
      </c>
      <c r="J80" s="2" t="n">
        <v>74130000</v>
      </c>
      <c r="K80" s="2" t="n">
        <v>3040000</v>
      </c>
      <c r="L80" s="2" t="n">
        <v>188100</v>
      </c>
      <c r="M80" s="2" t="n">
        <v>468640</v>
      </c>
      <c r="N80" s="2" t="n">
        <v>2310000</v>
      </c>
      <c r="O80" s="2" t="n">
        <v>2030000</v>
      </c>
      <c r="P80" s="2" t="n">
        <v>1410000</v>
      </c>
      <c r="Q80" s="2" t="n">
        <v>35210</v>
      </c>
      <c r="R80" s="2" t="n">
        <v>6000000</v>
      </c>
      <c r="S80" s="2" t="n">
        <v>429010</v>
      </c>
      <c r="T80" s="2" t="n">
        <v>651280</v>
      </c>
      <c r="U80" s="2" t="n">
        <v>9340000</v>
      </c>
      <c r="V80" s="2" t="n">
        <v>3700000</v>
      </c>
      <c r="W80" s="2" t="n">
        <v>559970</v>
      </c>
      <c r="X80" s="2" t="n">
        <v>354370</v>
      </c>
      <c r="Z80" s="2" t="n">
        <v>4640000</v>
      </c>
      <c r="AA80" s="2" t="n">
        <v>20980000</v>
      </c>
      <c r="AB80" s="2" t="n">
        <v>7700000</v>
      </c>
      <c r="AC80" s="2" t="n">
        <v>23000000</v>
      </c>
      <c r="AD80" s="2" t="n">
        <v>1020000</v>
      </c>
      <c r="AE80" s="2" t="n">
        <v>70290</v>
      </c>
      <c r="AF80" s="2" t="n">
        <v>655720</v>
      </c>
    </row>
    <row r="81" ht="16" customHeight="1">
      <c r="A81" s="2" t="inlineStr">
        <is>
          <t>02/09/2026</t>
        </is>
      </c>
      <c r="B81" s="2" t="n">
        <v>399860</v>
      </c>
      <c r="C81" s="2" t="n">
        <v>340010</v>
      </c>
      <c r="D81" s="2" t="n">
        <v>31000</v>
      </c>
      <c r="E81" s="2" t="n">
        <v>13990000</v>
      </c>
      <c r="F81" s="2" t="n">
        <v>338420</v>
      </c>
      <c r="G81" s="2" t="n">
        <v>1050000</v>
      </c>
      <c r="H81" s="2" t="n">
        <v>208570</v>
      </c>
      <c r="I81" s="2" t="n">
        <v>192960</v>
      </c>
      <c r="J81" s="2" t="n">
        <v>59010000</v>
      </c>
      <c r="K81" s="2" t="n">
        <v>4390000</v>
      </c>
      <c r="L81" s="2" t="n">
        <v>257280</v>
      </c>
      <c r="M81" s="2" t="n">
        <v>793940</v>
      </c>
      <c r="N81" s="2" t="n">
        <v>2260000</v>
      </c>
      <c r="O81" s="2" t="n">
        <v>2020000</v>
      </c>
      <c r="P81" s="2" t="n">
        <v>1520000</v>
      </c>
      <c r="Q81" s="2" t="n">
        <v>137990</v>
      </c>
      <c r="R81" s="2" t="n">
        <v>6950000</v>
      </c>
      <c r="S81" s="2" t="n">
        <v>869090</v>
      </c>
      <c r="T81" s="2" t="n">
        <v>776060</v>
      </c>
      <c r="U81" s="2" t="n">
        <v>10340000</v>
      </c>
      <c r="V81" s="2" t="n">
        <v>6970000</v>
      </c>
      <c r="W81" s="2" t="n">
        <v>705470</v>
      </c>
      <c r="X81" s="2" t="n">
        <v>341740</v>
      </c>
      <c r="Z81" s="2" t="n">
        <v>3680000</v>
      </c>
      <c r="AA81" s="2" t="n">
        <v>25470000</v>
      </c>
      <c r="AB81" s="2" t="n">
        <v>19580000</v>
      </c>
      <c r="AC81" s="2" t="n">
        <v>34290000</v>
      </c>
      <c r="AD81" s="2" t="n">
        <v>1310000</v>
      </c>
      <c r="AE81" s="2" t="n">
        <v>89050</v>
      </c>
      <c r="AF81" s="2" t="n">
        <v>706680</v>
      </c>
    </row>
    <row r="82" ht="16" customHeight="1">
      <c r="A82" s="2" t="inlineStr">
        <is>
          <t>02/08/2026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>
        <v>48770000</v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Z82" s="2" t="n"/>
      <c r="AA82" s="2" t="n"/>
      <c r="AB82" s="2" t="n"/>
      <c r="AC82" s="2" t="n"/>
      <c r="AD82" s="2" t="n"/>
      <c r="AE82" s="2" t="n">
        <v>64849.99999999999</v>
      </c>
      <c r="AF82" s="2" t="n">
        <v>536960</v>
      </c>
    </row>
    <row r="83" ht="16" customHeight="1">
      <c r="A83" s="2" t="inlineStr">
        <is>
          <t>02/07/2026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>
        <v>66860000</v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Z83" s="2" t="n"/>
      <c r="AA83" s="2" t="n"/>
      <c r="AB83" s="2" t="n"/>
      <c r="AC83" s="2" t="n"/>
      <c r="AD83" s="2" t="n"/>
      <c r="AE83" s="2" t="n">
        <v>113640</v>
      </c>
      <c r="AF83" s="2" t="n">
        <v>1270000</v>
      </c>
    </row>
    <row r="84" ht="16" customHeight="1">
      <c r="A84" s="2" t="inlineStr">
        <is>
          <t>02/06/2026</t>
        </is>
      </c>
      <c r="B84" s="2" t="n">
        <v>386280</v>
      </c>
      <c r="C84" s="2" t="n">
        <v>374840</v>
      </c>
      <c r="D84" s="2" t="n">
        <v>37450</v>
      </c>
      <c r="E84" s="2" t="n">
        <v>17380000</v>
      </c>
      <c r="F84" s="2" t="n">
        <v>802130</v>
      </c>
      <c r="G84" s="2" t="n">
        <v>1920000</v>
      </c>
      <c r="H84" s="2" t="n">
        <v>303310</v>
      </c>
      <c r="I84" s="2" t="n">
        <v>300840</v>
      </c>
      <c r="J84" s="2" t="n">
        <v>172000000</v>
      </c>
      <c r="K84" s="2" t="n">
        <v>6740000</v>
      </c>
      <c r="L84" s="2" t="n">
        <v>1930000</v>
      </c>
      <c r="M84" s="2" t="n">
        <v>969100</v>
      </c>
      <c r="N84" s="2" t="n">
        <v>3270000</v>
      </c>
      <c r="O84" s="2" t="n">
        <v>1780000</v>
      </c>
      <c r="P84" s="2" t="n">
        <v>1610000</v>
      </c>
      <c r="Q84" s="2" t="n">
        <v>14440</v>
      </c>
      <c r="R84" s="2" t="n">
        <v>12600000</v>
      </c>
      <c r="S84" s="2" t="n">
        <v>1110000</v>
      </c>
      <c r="T84" s="2" t="n">
        <v>834580</v>
      </c>
      <c r="U84" s="2" t="n">
        <v>18480000</v>
      </c>
      <c r="V84" s="2" t="n">
        <v>3770000</v>
      </c>
      <c r="W84" s="2" t="n">
        <v>731290</v>
      </c>
      <c r="X84" s="2" t="n">
        <v>456170</v>
      </c>
      <c r="Z84" s="2" t="n">
        <v>5170000</v>
      </c>
      <c r="AA84" s="2" t="n">
        <v>27100000</v>
      </c>
      <c r="AB84" s="2" t="n">
        <v>10100000</v>
      </c>
      <c r="AC84" s="2" t="n">
        <v>57770000</v>
      </c>
      <c r="AD84" s="2" t="n">
        <v>1410000</v>
      </c>
      <c r="AE84" s="2" t="n">
        <v>234060</v>
      </c>
      <c r="AF84" s="2" t="n">
        <v>2260000</v>
      </c>
    </row>
    <row r="85" ht="16" customHeight="1">
      <c r="A85" s="2" t="inlineStr">
        <is>
          <t>02/05/2026</t>
        </is>
      </c>
      <c r="B85" s="2" t="n">
        <v>437600</v>
      </c>
      <c r="C85" s="2" t="n">
        <v>383580</v>
      </c>
      <c r="D85" s="2" t="n">
        <v>31190</v>
      </c>
      <c r="E85" s="2" t="n">
        <v>20370000</v>
      </c>
      <c r="F85" s="2" t="n">
        <v>589240</v>
      </c>
      <c r="G85" s="2" t="n">
        <v>3370000</v>
      </c>
      <c r="H85" s="2" t="n">
        <v>802310</v>
      </c>
      <c r="I85" s="2" t="n">
        <v>685870</v>
      </c>
      <c r="J85" s="2" t="n">
        <v>207370000</v>
      </c>
      <c r="K85" s="2" t="n">
        <v>7950000</v>
      </c>
      <c r="L85" s="2" t="n">
        <v>155240</v>
      </c>
      <c r="M85" s="2" t="n">
        <v>801650</v>
      </c>
      <c r="N85" s="2" t="n">
        <v>3780000</v>
      </c>
      <c r="O85" s="2" t="n">
        <v>3130000</v>
      </c>
      <c r="P85" s="2" t="n">
        <v>1660000</v>
      </c>
      <c r="Q85" s="2" t="n">
        <v>24610</v>
      </c>
      <c r="R85" s="2" t="n">
        <v>11500000</v>
      </c>
      <c r="S85" s="2" t="n">
        <v>837960</v>
      </c>
      <c r="T85" s="2" t="n">
        <v>528970</v>
      </c>
      <c r="U85" s="2" t="n">
        <v>11390000</v>
      </c>
      <c r="V85" s="2" t="n">
        <v>5270000</v>
      </c>
      <c r="W85" s="2" t="n">
        <v>712210</v>
      </c>
      <c r="X85" s="2" t="n">
        <v>2160000</v>
      </c>
      <c r="Z85" s="2" t="n">
        <v>8580000</v>
      </c>
      <c r="AA85" s="2" t="n">
        <v>31350000</v>
      </c>
      <c r="AB85" s="2" t="n">
        <v>13650000</v>
      </c>
      <c r="AC85" s="2" t="n">
        <v>60130000</v>
      </c>
      <c r="AD85" s="2" t="n">
        <v>1930000</v>
      </c>
      <c r="AE85" s="2" t="n">
        <v>259100</v>
      </c>
      <c r="AF85" s="2" t="n">
        <v>2180000</v>
      </c>
    </row>
    <row r="86" ht="16" customHeight="1">
      <c r="A86" s="2" t="inlineStr">
        <is>
          <t>02/04/2026</t>
        </is>
      </c>
      <c r="B86" s="2" t="n">
        <v>393090</v>
      </c>
      <c r="C86" s="2" t="n">
        <v>312840</v>
      </c>
      <c r="D86" s="2" t="n">
        <v>30260</v>
      </c>
      <c r="E86" s="2" t="n">
        <v>18130000</v>
      </c>
      <c r="F86" s="2" t="n">
        <v>265780</v>
      </c>
      <c r="G86" s="2" t="n">
        <v>1730000</v>
      </c>
      <c r="H86" s="2" t="n">
        <v>269210</v>
      </c>
      <c r="I86" s="2" t="n">
        <v>276080</v>
      </c>
      <c r="J86" s="2" t="n">
        <v>72250000</v>
      </c>
      <c r="K86" s="2" t="n">
        <v>6970000</v>
      </c>
      <c r="L86" s="2" t="n">
        <v>183360</v>
      </c>
      <c r="M86" s="2" t="n">
        <v>799310</v>
      </c>
      <c r="N86" s="2" t="n">
        <v>3060000</v>
      </c>
      <c r="O86" s="2" t="n">
        <v>2800000</v>
      </c>
      <c r="P86" s="2" t="n">
        <v>2170000</v>
      </c>
      <c r="Q86" s="2" t="n">
        <v>38380</v>
      </c>
      <c r="R86" s="2" t="n">
        <v>10330000</v>
      </c>
      <c r="S86" s="2" t="n">
        <v>783180</v>
      </c>
      <c r="T86" s="2" t="n">
        <v>228850</v>
      </c>
      <c r="U86" s="2" t="n">
        <v>12980000</v>
      </c>
      <c r="V86" s="2" t="n">
        <v>4850000</v>
      </c>
      <c r="W86" s="2" t="n">
        <v>774760</v>
      </c>
      <c r="X86" s="2" t="n">
        <v>552030</v>
      </c>
      <c r="Z86" s="2" t="n">
        <v>7060000</v>
      </c>
      <c r="AA86" s="2" t="n">
        <v>34230000</v>
      </c>
      <c r="AB86" s="2" t="n">
        <v>17710000</v>
      </c>
      <c r="AC86" s="2" t="n">
        <v>25780000</v>
      </c>
      <c r="AD86" s="2" t="n">
        <v>1850000</v>
      </c>
      <c r="AE86" s="2" t="n">
        <v>113350</v>
      </c>
      <c r="AF86" s="2" t="n">
        <v>1380000</v>
      </c>
    </row>
    <row r="87" ht="16" customHeight="1">
      <c r="A87" s="2" t="inlineStr">
        <is>
          <t>02/03/2026</t>
        </is>
      </c>
      <c r="B87" s="2" t="n">
        <v>385570</v>
      </c>
      <c r="C87" s="2" t="n">
        <v>344590</v>
      </c>
      <c r="D87" s="2" t="n">
        <v>28630</v>
      </c>
      <c r="E87" s="2" t="n">
        <v>18150000</v>
      </c>
      <c r="F87" s="2" t="n">
        <v>249030</v>
      </c>
      <c r="G87" s="2" t="n">
        <v>1510000</v>
      </c>
      <c r="H87" s="2" t="n">
        <v>226170</v>
      </c>
      <c r="I87" s="2" t="n">
        <v>239980</v>
      </c>
      <c r="J87" s="2" t="n">
        <v>118570000</v>
      </c>
      <c r="K87" s="2" t="n">
        <v>9340000</v>
      </c>
      <c r="L87" s="2" t="n">
        <v>340460</v>
      </c>
      <c r="M87" s="2" t="n">
        <v>649910</v>
      </c>
      <c r="N87" s="2" t="n">
        <v>2960000</v>
      </c>
      <c r="O87" s="2" t="n">
        <v>2830000</v>
      </c>
      <c r="P87" s="2" t="n">
        <v>1680000</v>
      </c>
      <c r="Q87" s="2" t="n">
        <v>40930</v>
      </c>
      <c r="R87" s="2" t="n">
        <v>12600000</v>
      </c>
      <c r="S87" s="2" t="n">
        <v>937000</v>
      </c>
      <c r="T87" s="2" t="n">
        <v>331470</v>
      </c>
      <c r="U87" s="2" t="n">
        <v>15400000</v>
      </c>
      <c r="V87" s="2" t="n">
        <v>4170000</v>
      </c>
      <c r="W87" s="2" t="n">
        <v>710100</v>
      </c>
      <c r="X87" s="2" t="n">
        <v>280660</v>
      </c>
      <c r="Z87" s="2" t="n">
        <v>6530000</v>
      </c>
      <c r="AA87" s="2" t="n">
        <v>28640000</v>
      </c>
      <c r="AB87" s="2" t="n">
        <v>9820000</v>
      </c>
      <c r="AC87" s="2" t="n">
        <v>26170000</v>
      </c>
      <c r="AD87" s="2" t="n">
        <v>1840000</v>
      </c>
      <c r="AE87" s="2" t="n">
        <v>112170</v>
      </c>
      <c r="AF87" s="2" t="n">
        <v>1440000</v>
      </c>
    </row>
    <row r="88" ht="16" customHeight="1">
      <c r="A88" s="2" t="inlineStr">
        <is>
          <t>02/02/2026</t>
        </is>
      </c>
      <c r="B88" s="2" t="n">
        <v>398450</v>
      </c>
      <c r="C88" s="2" t="n">
        <v>333680</v>
      </c>
      <c r="D88" s="2" t="n">
        <v>42970</v>
      </c>
      <c r="E88" s="2" t="n">
        <v>31230000</v>
      </c>
      <c r="F88" s="2" t="n">
        <v>197940</v>
      </c>
      <c r="G88" s="2" t="n">
        <v>1380000</v>
      </c>
      <c r="H88" s="2" t="n">
        <v>328140</v>
      </c>
      <c r="I88" s="2" t="n">
        <v>358710</v>
      </c>
      <c r="J88" s="2" t="n">
        <v>92340000</v>
      </c>
      <c r="K88" s="2" t="n">
        <v>16570000</v>
      </c>
      <c r="L88" s="2" t="n">
        <v>304590</v>
      </c>
      <c r="M88" s="2" t="n">
        <v>6160000</v>
      </c>
      <c r="N88" s="2" t="n">
        <v>4990000</v>
      </c>
      <c r="O88" s="2" t="n">
        <v>3080000</v>
      </c>
      <c r="P88" s="2" t="n">
        <v>3290000</v>
      </c>
      <c r="Q88" s="2" t="n">
        <v>65770</v>
      </c>
      <c r="R88" s="2" t="n">
        <v>19940000</v>
      </c>
      <c r="S88" s="2" t="n">
        <v>972940</v>
      </c>
      <c r="T88" s="2" t="n">
        <v>546460</v>
      </c>
      <c r="U88" s="2" t="n">
        <v>11480000</v>
      </c>
      <c r="V88" s="2" t="n">
        <v>4040000</v>
      </c>
      <c r="W88" s="2" t="n">
        <v>850900</v>
      </c>
      <c r="X88" s="2" t="n">
        <v>371690</v>
      </c>
      <c r="Z88" s="2" t="n">
        <v>5270000</v>
      </c>
      <c r="AA88" s="2" t="n">
        <v>23680000</v>
      </c>
      <c r="AB88" s="2" t="n">
        <v>8180000</v>
      </c>
      <c r="AC88" s="2" t="n">
        <v>27170000</v>
      </c>
      <c r="AD88" s="2" t="n">
        <v>1500000</v>
      </c>
      <c r="AE88" s="2" t="n">
        <v>124030</v>
      </c>
      <c r="AF88" s="2" t="n">
        <v>1390000</v>
      </c>
    </row>
    <row r="89" ht="16" customHeight="1">
      <c r="A89" s="2" t="inlineStr">
        <is>
          <t>02/01/2026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>
        <v>104810000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Z89" s="2" t="n"/>
      <c r="AA89" s="2" t="n"/>
      <c r="AB89" s="2" t="n"/>
      <c r="AC89" s="2" t="n"/>
      <c r="AD89" s="2" t="n"/>
      <c r="AE89" s="2" t="n">
        <v>76610</v>
      </c>
      <c r="AF89" s="2" t="n">
        <v>1150000</v>
      </c>
    </row>
    <row r="90" ht="16" customHeight="1">
      <c r="A90" s="2" t="inlineStr">
        <is>
          <t>01/31/2026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>
        <v>167740000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Z90" s="2" t="n"/>
      <c r="AA90" s="2" t="n"/>
      <c r="AB90" s="2" t="n"/>
      <c r="AC90" s="2" t="n"/>
      <c r="AD90" s="2" t="n"/>
      <c r="AE90" s="2" t="n">
        <v>105810</v>
      </c>
      <c r="AF90" s="2" t="n">
        <v>1270000</v>
      </c>
    </row>
    <row r="91" ht="16" customHeight="1">
      <c r="A91" s="2" t="inlineStr">
        <is>
          <t>01/30/2026</t>
        </is>
      </c>
      <c r="B91" s="2" t="n">
        <v>378940</v>
      </c>
      <c r="C91" s="2" t="n">
        <v>274440</v>
      </c>
      <c r="D91" s="2" t="n">
        <v>19230</v>
      </c>
      <c r="E91" s="2" t="n">
        <v>29220000</v>
      </c>
      <c r="F91" s="2" t="n">
        <v>219460</v>
      </c>
      <c r="G91" s="2" t="n">
        <v>1240000</v>
      </c>
      <c r="H91" s="2" t="n">
        <v>183650</v>
      </c>
      <c r="I91" s="2" t="n">
        <v>490100</v>
      </c>
      <c r="J91" s="2" t="n">
        <v>113040000</v>
      </c>
      <c r="K91" s="2" t="n">
        <v>14680000</v>
      </c>
      <c r="L91" s="2" t="n">
        <v>248270</v>
      </c>
      <c r="M91" s="2" t="n">
        <v>528040</v>
      </c>
      <c r="N91" s="2" t="n">
        <v>3250000</v>
      </c>
      <c r="O91" s="2" t="n">
        <v>3300000</v>
      </c>
      <c r="P91" s="2" t="n">
        <v>3050000</v>
      </c>
      <c r="Q91" s="2" t="n">
        <v>23580</v>
      </c>
      <c r="R91" s="2" t="n">
        <v>30420000</v>
      </c>
      <c r="S91" s="2" t="n">
        <v>889700</v>
      </c>
      <c r="T91" s="2" t="n">
        <v>150450</v>
      </c>
      <c r="U91" s="2" t="n">
        <v>14190000</v>
      </c>
      <c r="V91" s="2" t="n">
        <v>3330000</v>
      </c>
      <c r="W91" s="2" t="n">
        <v>876500</v>
      </c>
      <c r="X91" s="2" t="n">
        <v>484900</v>
      </c>
      <c r="Z91" s="2" t="n">
        <v>4380000</v>
      </c>
      <c r="AA91" s="2" t="n">
        <v>22770000</v>
      </c>
      <c r="AB91" s="2" t="n">
        <v>8100000</v>
      </c>
      <c r="AC91" s="2" t="n">
        <v>22770000</v>
      </c>
      <c r="AD91" s="2" t="n">
        <v>2360000</v>
      </c>
      <c r="AE91" s="2" t="n">
        <v>109590</v>
      </c>
      <c r="AF91" s="2" t="n">
        <v>894050</v>
      </c>
    </row>
    <row r="92" ht="16" customHeight="1">
      <c r="A92" s="2" t="inlineStr">
        <is>
          <t>01/29/2026</t>
        </is>
      </c>
      <c r="B92" s="2" t="n">
        <v>128949</v>
      </c>
      <c r="C92" s="2" t="n">
        <v>276260</v>
      </c>
      <c r="D92" s="2" t="n">
        <v>22040</v>
      </c>
      <c r="E92" s="2" t="n">
        <v>16030000</v>
      </c>
      <c r="F92" s="2" t="n">
        <v>300490</v>
      </c>
      <c r="G92" s="2" t="n">
        <v>1930000</v>
      </c>
      <c r="H92" s="2" t="n">
        <v>402900</v>
      </c>
      <c r="I92" s="2" t="n">
        <v>655990</v>
      </c>
      <c r="J92" s="2" t="n">
        <v>135760000</v>
      </c>
      <c r="K92" s="2" t="n">
        <v>8369999.999999999</v>
      </c>
      <c r="L92" s="2" t="n">
        <v>331240</v>
      </c>
      <c r="M92" s="2" t="n">
        <v>596730</v>
      </c>
      <c r="N92" s="2" t="n">
        <v>5140000</v>
      </c>
      <c r="O92" s="2" t="n">
        <v>2800000</v>
      </c>
      <c r="P92" s="2" t="n">
        <v>6970000</v>
      </c>
      <c r="Q92" s="2" t="n">
        <v>48360</v>
      </c>
      <c r="R92" s="2" t="n">
        <v>31800000</v>
      </c>
      <c r="S92" s="2" t="n">
        <v>969910</v>
      </c>
      <c r="T92" s="2" t="n">
        <v>447190</v>
      </c>
      <c r="U92" s="2" t="n">
        <v>13730000</v>
      </c>
      <c r="V92" s="2" t="n">
        <v>4300000</v>
      </c>
      <c r="W92" s="2" t="n">
        <v>942020</v>
      </c>
      <c r="X92" s="2" t="n">
        <v>729970</v>
      </c>
      <c r="Z92" s="2" t="n">
        <v>6140000</v>
      </c>
      <c r="AA92" s="2" t="n">
        <v>27140000</v>
      </c>
      <c r="AB92" s="2" t="n">
        <v>7830000</v>
      </c>
      <c r="AC92" s="2" t="n">
        <v>34620000</v>
      </c>
      <c r="AD92" s="2" t="n">
        <v>2060000</v>
      </c>
      <c r="AE92" s="2" t="n">
        <v>95050</v>
      </c>
      <c r="AF92" s="2" t="n">
        <v>642440</v>
      </c>
    </row>
    <row r="93" ht="16" customHeight="1">
      <c r="A93" s="2" t="inlineStr">
        <is>
          <t>01/28/2026</t>
        </is>
      </c>
      <c r="B93" s="2" t="n">
        <v>77020</v>
      </c>
      <c r="C93" s="2" t="n">
        <v>382760</v>
      </c>
      <c r="D93" s="2" t="n">
        <v>32290</v>
      </c>
      <c r="E93" s="2" t="n">
        <v>11990000</v>
      </c>
      <c r="F93" s="2" t="n">
        <v>75620</v>
      </c>
      <c r="G93" s="2" t="n">
        <v>1090000</v>
      </c>
      <c r="H93" s="2" t="n">
        <v>94160</v>
      </c>
      <c r="I93" s="2" t="n">
        <v>716030</v>
      </c>
      <c r="J93" s="2" t="n">
        <v>70300000</v>
      </c>
      <c r="K93" s="2" t="n">
        <v>7280000</v>
      </c>
      <c r="L93" s="2" t="n">
        <v>508390</v>
      </c>
      <c r="M93" s="2" t="n">
        <v>1010000</v>
      </c>
      <c r="N93" s="2" t="n">
        <v>6740000</v>
      </c>
      <c r="O93" s="2" t="n">
        <v>2320000</v>
      </c>
      <c r="P93" s="2" t="n">
        <v>21260000</v>
      </c>
      <c r="Q93" s="2" t="n">
        <v>225010</v>
      </c>
      <c r="R93" s="2" t="n">
        <v>27780000</v>
      </c>
      <c r="S93" s="2" t="n">
        <v>878800</v>
      </c>
      <c r="T93" s="2" t="n">
        <v>402260</v>
      </c>
      <c r="U93" s="2" t="n">
        <v>12840000</v>
      </c>
      <c r="V93" s="2" t="n">
        <v>4010000</v>
      </c>
      <c r="W93" s="2" t="n">
        <v>1060000</v>
      </c>
      <c r="X93" s="2" t="n">
        <v>264440</v>
      </c>
      <c r="Z93" s="2" t="n">
        <v>4200000</v>
      </c>
      <c r="AA93" s="2" t="n">
        <v>19580000</v>
      </c>
      <c r="AB93" s="2" t="n">
        <v>10080000</v>
      </c>
      <c r="AC93" s="2" t="n">
        <v>14080000</v>
      </c>
      <c r="AD93" s="2" t="n">
        <v>1540000</v>
      </c>
      <c r="AE93" s="2" t="n">
        <v>50900</v>
      </c>
      <c r="AF93" s="2" t="n">
        <v>330740</v>
      </c>
    </row>
    <row r="94" ht="16" customHeight="1">
      <c r="A94" s="2" t="inlineStr">
        <is>
          <t>01/27/2026</t>
        </is>
      </c>
      <c r="B94" s="2" t="n">
        <v>378260</v>
      </c>
      <c r="C94" s="2" t="n">
        <v>386730</v>
      </c>
      <c r="D94" s="2" t="n">
        <v>29740</v>
      </c>
      <c r="E94" s="2" t="n">
        <v>13390000</v>
      </c>
      <c r="F94" s="2" t="n">
        <v>111450</v>
      </c>
      <c r="G94" s="2" t="n">
        <v>1070000</v>
      </c>
      <c r="H94" s="2" t="n">
        <v>47170</v>
      </c>
      <c r="I94" s="2" t="n">
        <v>498010</v>
      </c>
      <c r="J94" s="2" t="n">
        <v>58780000</v>
      </c>
      <c r="K94" s="2" t="n">
        <v>5230000</v>
      </c>
      <c r="L94" s="2" t="n">
        <v>199260</v>
      </c>
      <c r="M94" s="2" t="n">
        <v>406390</v>
      </c>
      <c r="N94" s="2" t="n">
        <v>2770000</v>
      </c>
      <c r="O94" s="2" t="n">
        <v>1760000</v>
      </c>
      <c r="P94" s="2" t="n">
        <v>2430000</v>
      </c>
      <c r="Q94" s="2" t="n">
        <v>92950</v>
      </c>
      <c r="R94" s="2" t="n">
        <v>22220000</v>
      </c>
      <c r="S94" s="2" t="n">
        <v>575000</v>
      </c>
      <c r="T94" s="2" t="n">
        <v>248750</v>
      </c>
      <c r="U94" s="2" t="n">
        <v>8880000</v>
      </c>
      <c r="V94" s="2" t="n">
        <v>3530000</v>
      </c>
      <c r="W94" s="2" t="n">
        <v>704240</v>
      </c>
      <c r="X94" s="2" t="n">
        <v>193110</v>
      </c>
      <c r="Z94" s="2" t="n">
        <v>4050000</v>
      </c>
      <c r="AA94" s="2" t="n">
        <v>14890000</v>
      </c>
      <c r="AB94" s="2" t="n">
        <v>5590000</v>
      </c>
      <c r="AC94" s="2" t="n">
        <v>13960000</v>
      </c>
      <c r="AD94" s="2" t="n">
        <v>1330000</v>
      </c>
      <c r="AE94" s="2" t="n">
        <v>49570</v>
      </c>
      <c r="AF94" s="2" t="n">
        <v>529910</v>
      </c>
    </row>
    <row r="95" ht="16" customHeight="1">
      <c r="A95" s="2" t="inlineStr">
        <is>
          <t>01/26/2026</t>
        </is>
      </c>
      <c r="B95" s="2" t="n">
        <v>394190</v>
      </c>
      <c r="C95" s="2" t="n">
        <v>336310</v>
      </c>
      <c r="D95" s="2" t="n">
        <v>23610</v>
      </c>
      <c r="E95" s="2" t="n">
        <v>16870000</v>
      </c>
      <c r="F95" s="2" t="n">
        <v>107480</v>
      </c>
      <c r="G95" s="2" t="n">
        <v>1280000</v>
      </c>
      <c r="H95" s="2" t="n">
        <v>85010</v>
      </c>
      <c r="I95" s="2" t="n">
        <v>409900</v>
      </c>
      <c r="J95" s="2" t="n">
        <v>78710000</v>
      </c>
      <c r="K95" s="2" t="n">
        <v>5520000</v>
      </c>
      <c r="L95" s="2" t="n">
        <v>345220</v>
      </c>
      <c r="M95" s="2" t="n">
        <v>788140</v>
      </c>
      <c r="N95" s="2" t="n">
        <v>2880000</v>
      </c>
      <c r="O95" s="2" t="n">
        <v>2100000</v>
      </c>
      <c r="P95" s="2" t="n">
        <v>9580000</v>
      </c>
      <c r="Q95" s="2" t="n">
        <v>25790</v>
      </c>
      <c r="R95" s="2" t="n">
        <v>18740000</v>
      </c>
      <c r="S95" s="2" t="n">
        <v>1420000</v>
      </c>
      <c r="T95" s="2" t="n">
        <v>89320</v>
      </c>
      <c r="U95" s="2" t="n">
        <v>17430000</v>
      </c>
      <c r="V95" s="2" t="n">
        <v>7280000</v>
      </c>
      <c r="W95" s="2" t="n">
        <v>1210000</v>
      </c>
      <c r="X95" s="2" t="n">
        <v>320080</v>
      </c>
      <c r="Z95" s="2" t="n">
        <v>5670000</v>
      </c>
      <c r="AA95" s="2" t="n">
        <v>19120000</v>
      </c>
      <c r="AB95" s="2" t="n">
        <v>7390000</v>
      </c>
      <c r="AC95" s="2" t="n">
        <v>14520000</v>
      </c>
      <c r="AD95" s="2" t="n">
        <v>1640000</v>
      </c>
      <c r="AE95" s="2" t="n">
        <v>65760</v>
      </c>
      <c r="AF95" s="2" t="n">
        <v>544010</v>
      </c>
    </row>
    <row r="96" ht="16" customHeight="1">
      <c r="A96" s="2" t="inlineStr">
        <is>
          <t>01/25/2026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>
        <v>84760000</v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Z96" s="2" t="n"/>
      <c r="AA96" s="2" t="n"/>
      <c r="AB96" s="2" t="n"/>
      <c r="AC96" s="2" t="n"/>
      <c r="AD96" s="2" t="n"/>
      <c r="AE96" s="2" t="n">
        <v>48590</v>
      </c>
      <c r="AF96" s="2" t="n">
        <v>417200</v>
      </c>
    </row>
    <row r="97" ht="16" customHeight="1">
      <c r="A97" s="2" t="inlineStr">
        <is>
          <t>01/24/2026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>
        <v>41950000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Z97" s="2" t="n"/>
      <c r="AA97" s="2" t="n"/>
      <c r="AB97" s="2" t="n"/>
      <c r="AC97" s="2" t="n"/>
      <c r="AD97" s="2" t="n"/>
      <c r="AE97" s="2" t="n">
        <v>16960</v>
      </c>
      <c r="AF97" s="2" t="n">
        <v>102430</v>
      </c>
    </row>
    <row r="98" ht="16" customHeight="1">
      <c r="A98" s="2" t="inlineStr">
        <is>
          <t>01/23/2026</t>
        </is>
      </c>
      <c r="B98" s="2" t="n">
        <v>384110</v>
      </c>
      <c r="C98" s="2" t="n">
        <v>267990</v>
      </c>
      <c r="D98" s="2" t="n">
        <v>19970</v>
      </c>
      <c r="E98" s="2" t="n">
        <v>12140000</v>
      </c>
      <c r="F98" s="2" t="n">
        <v>145190</v>
      </c>
      <c r="G98" s="2" t="n">
        <v>1180000</v>
      </c>
      <c r="H98" s="2" t="n">
        <v>97340</v>
      </c>
      <c r="I98" s="2" t="n">
        <v>210410</v>
      </c>
      <c r="J98" s="2" t="n">
        <v>69190000</v>
      </c>
      <c r="K98" s="2" t="n">
        <v>4340000</v>
      </c>
      <c r="L98" s="2" t="n">
        <v>172830</v>
      </c>
      <c r="M98" s="2" t="n">
        <v>452350</v>
      </c>
      <c r="N98" s="2" t="n">
        <v>8660000</v>
      </c>
      <c r="O98" s="2" t="n">
        <v>2450000</v>
      </c>
      <c r="P98" s="2" t="n">
        <v>2070000</v>
      </c>
      <c r="Q98" s="2" t="n">
        <v>21470</v>
      </c>
      <c r="R98" s="2" t="n">
        <v>4180000</v>
      </c>
      <c r="S98" s="2" t="n">
        <v>696680</v>
      </c>
      <c r="T98" s="2" t="n">
        <v>253120</v>
      </c>
      <c r="U98" s="2" t="n">
        <v>20050000</v>
      </c>
      <c r="V98" s="2" t="n">
        <v>6180000</v>
      </c>
      <c r="W98" s="2" t="n">
        <v>758330</v>
      </c>
      <c r="X98" s="2" t="n">
        <v>234060</v>
      </c>
      <c r="Z98" s="2" t="n">
        <v>5090000</v>
      </c>
      <c r="AA98" s="2" t="n">
        <v>19240000</v>
      </c>
      <c r="AB98" s="2" t="n">
        <v>6560000</v>
      </c>
      <c r="AC98" s="2" t="n">
        <v>14880000</v>
      </c>
      <c r="AD98" s="2" t="n">
        <v>1440000</v>
      </c>
      <c r="AE98" s="2" t="n">
        <v>49440</v>
      </c>
      <c r="AF98" s="2" t="n">
        <v>359700</v>
      </c>
    </row>
    <row r="99" ht="16" customHeight="1">
      <c r="A99" s="2" t="inlineStr">
        <is>
          <t>01/22/2026</t>
        </is>
      </c>
      <c r="B99" s="2" t="n">
        <v>414190</v>
      </c>
      <c r="C99" s="2" t="n">
        <v>251370</v>
      </c>
      <c r="D99" s="2" t="n">
        <v>18690</v>
      </c>
      <c r="E99" s="2" t="n">
        <v>13620000</v>
      </c>
      <c r="F99" s="2" t="n">
        <v>69950</v>
      </c>
      <c r="G99" s="2" t="n">
        <v>943770</v>
      </c>
      <c r="H99" s="2" t="n">
        <v>72290</v>
      </c>
      <c r="I99" s="2" t="n">
        <v>333000</v>
      </c>
      <c r="J99" s="2" t="n">
        <v>63910000</v>
      </c>
      <c r="K99" s="2" t="n">
        <v>4320000</v>
      </c>
      <c r="L99" s="2" t="n">
        <v>160340</v>
      </c>
      <c r="M99" s="2" t="n">
        <v>346790</v>
      </c>
      <c r="N99" s="2" t="n">
        <v>2700000</v>
      </c>
      <c r="O99" s="2" t="n">
        <v>2560000</v>
      </c>
      <c r="P99" s="2" t="n">
        <v>5230000</v>
      </c>
      <c r="Q99" s="2" t="n">
        <v>20620</v>
      </c>
      <c r="R99" s="2" t="n">
        <v>1900000</v>
      </c>
      <c r="S99" s="2" t="n">
        <v>714490</v>
      </c>
      <c r="T99" s="2" t="n">
        <v>180970</v>
      </c>
      <c r="U99" s="2" t="n">
        <v>21840000</v>
      </c>
      <c r="V99" s="2" t="n">
        <v>5520000</v>
      </c>
      <c r="W99" s="2" t="n">
        <v>808540</v>
      </c>
      <c r="X99" s="2" t="n">
        <v>194630</v>
      </c>
      <c r="Z99" s="2" t="n">
        <v>5100000</v>
      </c>
      <c r="AA99" s="2" t="n">
        <v>16450000</v>
      </c>
      <c r="AB99" s="2" t="n">
        <v>7810000</v>
      </c>
      <c r="AC99" s="2" t="n">
        <v>11120000</v>
      </c>
      <c r="AD99" s="2" t="n">
        <v>1320000</v>
      </c>
      <c r="AE99" s="2" t="n">
        <v>41980</v>
      </c>
      <c r="AF99" s="2" t="n">
        <v>320830</v>
      </c>
    </row>
    <row r="100" ht="16" customHeight="1">
      <c r="A100" s="2" t="inlineStr">
        <is>
          <t>01/21/2026</t>
        </is>
      </c>
      <c r="B100" s="2" t="n">
        <v>386450</v>
      </c>
      <c r="C100" s="2" t="n">
        <v>271830</v>
      </c>
      <c r="D100" s="2" t="n">
        <v>17670</v>
      </c>
      <c r="E100" s="2" t="n">
        <v>17500000</v>
      </c>
      <c r="F100" s="2" t="n">
        <v>118110</v>
      </c>
      <c r="G100" s="2" t="n">
        <v>1390000</v>
      </c>
      <c r="H100" s="2" t="n">
        <v>81400</v>
      </c>
      <c r="I100" s="2" t="n">
        <v>392720</v>
      </c>
      <c r="J100" s="2" t="n">
        <v>95710000</v>
      </c>
      <c r="K100" s="2" t="n">
        <v>5920000</v>
      </c>
      <c r="L100" s="2" t="n">
        <v>271330</v>
      </c>
      <c r="M100" s="2" t="n">
        <v>548960</v>
      </c>
      <c r="N100" s="2" t="n">
        <v>2910000</v>
      </c>
      <c r="O100" s="2" t="n">
        <v>3590000</v>
      </c>
      <c r="P100" s="2" t="n">
        <v>1370000</v>
      </c>
      <c r="Q100" s="2" t="n">
        <v>21460</v>
      </c>
      <c r="R100" s="2" t="n">
        <v>3740000</v>
      </c>
      <c r="S100" s="2" t="n">
        <v>1040000</v>
      </c>
      <c r="T100" s="2" t="n">
        <v>89830</v>
      </c>
      <c r="U100" s="2" t="n">
        <v>29030000</v>
      </c>
      <c r="V100" s="2" t="n">
        <v>5850000</v>
      </c>
      <c r="W100" s="2" t="n">
        <v>1050000</v>
      </c>
      <c r="X100" s="2" t="n">
        <v>318960</v>
      </c>
      <c r="Z100" s="2" t="n">
        <v>7830000</v>
      </c>
      <c r="AA100" s="2" t="n">
        <v>20010000</v>
      </c>
      <c r="AB100" s="2" t="n">
        <v>17980000</v>
      </c>
      <c r="AC100" s="2" t="n">
        <v>18440000</v>
      </c>
      <c r="AD100" s="2" t="n">
        <v>2640000</v>
      </c>
      <c r="AE100" s="2" t="n">
        <v>73670</v>
      </c>
      <c r="AF100" s="2" t="n">
        <v>631770</v>
      </c>
    </row>
    <row r="101" ht="16" customHeight="1">
      <c r="A101" s="2" t="inlineStr">
        <is>
          <t>01/20/2026</t>
        </is>
      </c>
      <c r="B101" s="2" t="n">
        <v>367730</v>
      </c>
      <c r="C101" s="2" t="n">
        <v>253010</v>
      </c>
      <c r="D101" s="2" t="n">
        <v>13990</v>
      </c>
      <c r="E101" s="2" t="n">
        <v>19390000</v>
      </c>
      <c r="F101" s="2" t="n">
        <v>188880</v>
      </c>
      <c r="G101" s="2" t="n">
        <v>1700000</v>
      </c>
      <c r="H101" s="2" t="n">
        <v>171130</v>
      </c>
      <c r="I101" s="2" t="n">
        <v>473040</v>
      </c>
      <c r="J101" s="2" t="n">
        <v>84540000</v>
      </c>
      <c r="K101" s="2" t="n">
        <v>2760000</v>
      </c>
      <c r="L101" s="2" t="n">
        <v>270790</v>
      </c>
      <c r="M101" s="2" t="n">
        <v>444870</v>
      </c>
      <c r="N101" s="2" t="n">
        <v>3810000</v>
      </c>
      <c r="O101" s="2" t="n">
        <v>4500000</v>
      </c>
      <c r="P101" s="2" t="n">
        <v>2660000</v>
      </c>
      <c r="Q101" s="2" t="n">
        <v>17290</v>
      </c>
      <c r="R101" s="2" t="n">
        <v>2410000</v>
      </c>
      <c r="S101" s="2" t="n">
        <v>743040</v>
      </c>
      <c r="T101" s="2" t="n">
        <v>197830</v>
      </c>
      <c r="U101" s="2" t="n">
        <v>25580000</v>
      </c>
      <c r="V101" s="2" t="n">
        <v>3020000</v>
      </c>
      <c r="W101" s="2" t="n">
        <v>913010</v>
      </c>
      <c r="X101" s="2" t="n">
        <v>296290</v>
      </c>
      <c r="Z101" s="2" t="n">
        <v>8570000</v>
      </c>
      <c r="AA101" s="2" t="n">
        <v>24140000</v>
      </c>
      <c r="AB101" s="2" t="n">
        <v>16440000</v>
      </c>
      <c r="AC101" s="2" t="n">
        <v>25670000</v>
      </c>
      <c r="AD101" s="2" t="n">
        <v>2940000</v>
      </c>
      <c r="AE101" s="2" t="n">
        <v>72370</v>
      </c>
      <c r="AF101" s="2" t="n">
        <v>566690</v>
      </c>
    </row>
    <row r="102" ht="16" customHeight="1">
      <c r="A102" s="2" t="inlineStr">
        <is>
          <t>01/19/2026</t>
        </is>
      </c>
      <c r="B102" s="2" t="n">
        <v>363730</v>
      </c>
      <c r="C102" s="2" t="n">
        <v>417530</v>
      </c>
      <c r="D102" s="2" t="n">
        <v>26840</v>
      </c>
      <c r="E102" s="2" t="n"/>
      <c r="F102" s="2" t="n"/>
      <c r="G102" s="2" t="n"/>
      <c r="H102" s="2" t="n"/>
      <c r="I102" s="2" t="n"/>
      <c r="J102" s="2" t="n">
        <v>71980000</v>
      </c>
      <c r="K102" s="2" t="n">
        <v>3100000</v>
      </c>
      <c r="L102" s="2" t="n">
        <v>240810</v>
      </c>
      <c r="M102" s="2" t="n">
        <v>374500</v>
      </c>
      <c r="N102" s="2" t="n"/>
      <c r="O102" s="2" t="n"/>
      <c r="P102" s="2" t="n"/>
      <c r="Q102" s="2" t="n">
        <v>31260</v>
      </c>
      <c r="R102" s="2" t="n">
        <v>1450000</v>
      </c>
      <c r="S102" s="2" t="n">
        <v>1100000</v>
      </c>
      <c r="T102" s="2" t="n">
        <v>106340</v>
      </c>
      <c r="U102" s="2" t="n">
        <v>6600000</v>
      </c>
      <c r="V102" s="2" t="n">
        <v>3640000</v>
      </c>
      <c r="W102" s="2" t="n">
        <v>1100000</v>
      </c>
      <c r="X102" s="2" t="n">
        <v>201250</v>
      </c>
      <c r="Z102" s="2" t="n"/>
      <c r="AA102" s="2" t="n"/>
      <c r="AB102" s="2" t="n"/>
      <c r="AC102" s="2" t="n"/>
      <c r="AD102" s="2" t="n"/>
      <c r="AE102" s="2" t="n">
        <v>49950</v>
      </c>
      <c r="AF102" s="2" t="n">
        <v>490130</v>
      </c>
    </row>
    <row r="103" ht="16" customHeight="1">
      <c r="A103" s="2" t="inlineStr">
        <is>
          <t>01/18/2026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>
        <v>46750000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Z103" s="2" t="n"/>
      <c r="AA103" s="2" t="n"/>
      <c r="AB103" s="2" t="n"/>
      <c r="AC103" s="2" t="n"/>
      <c r="AD103" s="2" t="n"/>
      <c r="AE103" s="2" t="n">
        <v>25300</v>
      </c>
      <c r="AF103" s="2" t="n">
        <v>200500</v>
      </c>
    </row>
    <row r="104" ht="16" customHeight="1">
      <c r="A104" s="2" t="inlineStr">
        <is>
          <t>01/17/2026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>
        <v>28820000</v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Z104" s="2" t="n"/>
      <c r="AA104" s="2" t="n"/>
      <c r="AB104" s="2" t="n"/>
      <c r="AC104" s="2" t="n"/>
      <c r="AD104" s="2" t="n"/>
      <c r="AE104" s="2" t="n">
        <v>17340</v>
      </c>
      <c r="AF104" s="2" t="n">
        <v>145160</v>
      </c>
    </row>
    <row r="105" ht="16" customHeight="1">
      <c r="A105" s="2" t="inlineStr">
        <is>
          <t>01/16/2026</t>
        </is>
      </c>
      <c r="B105" s="2" t="n">
        <v>371760</v>
      </c>
      <c r="C105" s="2" t="n">
        <v>363690</v>
      </c>
      <c r="D105" s="2" t="n">
        <v>25070</v>
      </c>
      <c r="E105" s="2" t="n">
        <v>14770000</v>
      </c>
      <c r="F105" s="2" t="n">
        <v>151020</v>
      </c>
      <c r="G105" s="2" t="n">
        <v>925800</v>
      </c>
      <c r="H105" s="2" t="n">
        <v>116490</v>
      </c>
      <c r="I105" s="2" t="n">
        <v>210070</v>
      </c>
      <c r="J105" s="2" t="n">
        <v>54260000</v>
      </c>
      <c r="K105" s="2" t="n">
        <v>2210000</v>
      </c>
      <c r="L105" s="2" t="n">
        <v>212550</v>
      </c>
      <c r="M105" s="2" t="n">
        <v>421010</v>
      </c>
      <c r="N105" s="2" t="n">
        <v>3180000</v>
      </c>
      <c r="O105" s="2" t="n">
        <v>3530000</v>
      </c>
      <c r="P105" s="2" t="n">
        <v>1480000</v>
      </c>
      <c r="Q105" s="2" t="n">
        <v>24430</v>
      </c>
      <c r="R105" s="2" t="n">
        <v>1900000</v>
      </c>
      <c r="S105" s="2" t="n">
        <v>645880</v>
      </c>
      <c r="T105" s="2" t="n">
        <v>186210</v>
      </c>
      <c r="U105" s="2" t="n">
        <v>17740000</v>
      </c>
      <c r="V105" s="2" t="n">
        <v>1830000</v>
      </c>
      <c r="W105" s="2" t="n">
        <v>813720</v>
      </c>
      <c r="X105" s="2" t="n">
        <v>122980</v>
      </c>
      <c r="Z105" s="2" t="n">
        <v>4390000</v>
      </c>
      <c r="AA105" s="2" t="n">
        <v>19790000</v>
      </c>
      <c r="AB105" s="2" t="n">
        <v>7490000</v>
      </c>
      <c r="AC105" s="2" t="n">
        <v>19460000</v>
      </c>
      <c r="AD105" s="2" t="n">
        <v>1600000</v>
      </c>
      <c r="AE105" s="2" t="n">
        <v>43130</v>
      </c>
      <c r="AF105" s="2" t="n">
        <v>270940</v>
      </c>
    </row>
    <row r="106" ht="16" customHeight="1">
      <c r="A106" s="2" t="inlineStr">
        <is>
          <t>01/15/2026</t>
        </is>
      </c>
      <c r="B106" s="2" t="n">
        <v>405680</v>
      </c>
      <c r="C106" s="2" t="n">
        <v>287330</v>
      </c>
      <c r="D106" s="2" t="n">
        <v>15970</v>
      </c>
      <c r="E106" s="2" t="n">
        <v>11470000</v>
      </c>
      <c r="F106" s="2" t="n">
        <v>140890</v>
      </c>
      <c r="G106" s="2" t="n">
        <v>1180000</v>
      </c>
      <c r="H106" s="2" t="n">
        <v>116720</v>
      </c>
      <c r="I106" s="2" t="n">
        <v>294700</v>
      </c>
      <c r="J106" s="2" t="n">
        <v>73170000</v>
      </c>
      <c r="K106" s="2" t="n">
        <v>3450000</v>
      </c>
      <c r="L106" s="2" t="n">
        <v>429850</v>
      </c>
      <c r="M106" s="2" t="n">
        <v>662730</v>
      </c>
      <c r="N106" s="2" t="n">
        <v>12190000</v>
      </c>
      <c r="O106" s="2" t="n">
        <v>2240000</v>
      </c>
      <c r="P106" s="2" t="n">
        <v>2380000</v>
      </c>
      <c r="Q106" s="2" t="n">
        <v>27140</v>
      </c>
      <c r="R106" s="2" t="n">
        <v>1490000</v>
      </c>
      <c r="S106" s="2" t="n">
        <v>1080000</v>
      </c>
      <c r="T106" s="2" t="n">
        <v>136160</v>
      </c>
      <c r="U106" s="2" t="n">
        <v>17560000</v>
      </c>
      <c r="V106" s="2" t="n">
        <v>3800000</v>
      </c>
      <c r="W106" s="2" t="n">
        <v>1030000</v>
      </c>
      <c r="X106" s="2" t="n">
        <v>67180</v>
      </c>
      <c r="Z106" s="2" t="n">
        <v>4560000</v>
      </c>
      <c r="AA106" s="2" t="n">
        <v>18250000</v>
      </c>
      <c r="AB106" s="2" t="n">
        <v>8420000</v>
      </c>
      <c r="AC106" s="2" t="n">
        <v>21490000</v>
      </c>
      <c r="AD106" s="2" t="n">
        <v>1310000</v>
      </c>
      <c r="AE106" s="2" t="n">
        <v>74070</v>
      </c>
      <c r="AF106" s="2" t="n">
        <v>461630</v>
      </c>
    </row>
    <row r="107" ht="16" customHeight="1">
      <c r="A107" s="2" t="inlineStr">
        <is>
          <t>01/14/2026</t>
        </is>
      </c>
      <c r="B107" s="2" t="n">
        <v>369780</v>
      </c>
      <c r="C107" s="2" t="n">
        <v>245470</v>
      </c>
      <c r="D107" s="2" t="n">
        <v>19540</v>
      </c>
      <c r="E107" s="2" t="n">
        <v>11850000</v>
      </c>
      <c r="F107" s="2" t="n">
        <v>162640</v>
      </c>
      <c r="G107" s="2" t="n">
        <v>1970000</v>
      </c>
      <c r="H107" s="2" t="n">
        <v>160570</v>
      </c>
      <c r="I107" s="2" t="n">
        <v>202380</v>
      </c>
      <c r="J107" s="2" t="n">
        <v>86970000</v>
      </c>
      <c r="K107" s="2" t="n">
        <v>3140000</v>
      </c>
      <c r="L107" s="2" t="n">
        <v>313580</v>
      </c>
      <c r="M107" s="2" t="n">
        <v>361260</v>
      </c>
      <c r="N107" s="2" t="n">
        <v>2430000</v>
      </c>
      <c r="O107" s="2" t="n">
        <v>3440000</v>
      </c>
      <c r="P107" s="2" t="n">
        <v>2140000</v>
      </c>
      <c r="Q107" s="2" t="n">
        <v>26580</v>
      </c>
      <c r="R107" s="2" t="n">
        <v>1800000</v>
      </c>
      <c r="S107" s="2" t="n">
        <v>652320</v>
      </c>
      <c r="T107" s="2" t="n">
        <v>66000</v>
      </c>
      <c r="U107" s="2" t="n">
        <v>13860000</v>
      </c>
      <c r="V107" s="2" t="n">
        <v>3680000</v>
      </c>
      <c r="W107" s="2" t="n">
        <v>988980</v>
      </c>
      <c r="X107" s="2" t="n">
        <v>78580</v>
      </c>
      <c r="Z107" s="2" t="n">
        <v>7380000</v>
      </c>
      <c r="AA107" s="2" t="n">
        <v>21700000</v>
      </c>
      <c r="AB107" s="2" t="n">
        <v>8690000</v>
      </c>
      <c r="AC107" s="2" t="n">
        <v>40260000</v>
      </c>
      <c r="AD107" s="2" t="n">
        <v>1330000</v>
      </c>
      <c r="AE107" s="2" t="n">
        <v>93400</v>
      </c>
      <c r="AF107" s="2" t="n">
        <v>609930</v>
      </c>
    </row>
    <row r="108" ht="16" customHeight="1">
      <c r="A108" s="2" t="inlineStr">
        <is>
          <t>01/13/2026</t>
        </is>
      </c>
      <c r="B108" s="2" t="n">
        <v>372070</v>
      </c>
      <c r="C108" s="2" t="n">
        <v>232870</v>
      </c>
      <c r="D108" s="2" t="n">
        <v>18570</v>
      </c>
      <c r="E108" s="2" t="n">
        <v>14160000</v>
      </c>
      <c r="F108" s="2" t="n">
        <v>135340</v>
      </c>
      <c r="G108" s="2" t="n">
        <v>1750000</v>
      </c>
      <c r="H108" s="2" t="n">
        <v>178700</v>
      </c>
      <c r="I108" s="2" t="n">
        <v>181550</v>
      </c>
      <c r="J108" s="2" t="n">
        <v>100320000</v>
      </c>
      <c r="K108" s="2" t="n">
        <v>3270000</v>
      </c>
      <c r="L108" s="2" t="n">
        <v>245510</v>
      </c>
      <c r="M108" s="2" t="n">
        <v>423460</v>
      </c>
      <c r="N108" s="2" t="n">
        <v>24700000</v>
      </c>
      <c r="O108" s="2" t="n">
        <v>3680000</v>
      </c>
      <c r="P108" s="2" t="n">
        <v>1570000</v>
      </c>
      <c r="Q108" s="2" t="n">
        <v>19770</v>
      </c>
      <c r="R108" s="2" t="n">
        <v>1630000</v>
      </c>
      <c r="S108" s="2" t="n">
        <v>554370</v>
      </c>
      <c r="T108" s="2" t="n">
        <v>155660</v>
      </c>
      <c r="U108" s="2" t="n">
        <v>10210000</v>
      </c>
      <c r="V108" s="2" t="n">
        <v>1980000</v>
      </c>
      <c r="W108" s="2" t="n">
        <v>837280</v>
      </c>
      <c r="X108" s="2" t="n">
        <v>96370</v>
      </c>
      <c r="Z108" s="2" t="n">
        <v>6430000</v>
      </c>
      <c r="AA108" s="2" t="n">
        <v>18450000</v>
      </c>
      <c r="AB108" s="2" t="n">
        <v>13720000</v>
      </c>
      <c r="AC108" s="2" t="n">
        <v>27660000</v>
      </c>
      <c r="AD108" s="2" t="n">
        <v>1490000</v>
      </c>
      <c r="AE108" s="2" t="n">
        <v>84970</v>
      </c>
      <c r="AF108" s="2" t="n">
        <v>520419.9999999999</v>
      </c>
    </row>
    <row r="109" ht="16" customHeight="1">
      <c r="A109" s="2" t="inlineStr">
        <is>
          <t>01/12/2026</t>
        </is>
      </c>
      <c r="B109" s="2" t="n">
        <v>364880</v>
      </c>
      <c r="C109" s="2" t="n">
        <v>348170</v>
      </c>
      <c r="D109" s="2" t="n">
        <v>19590</v>
      </c>
      <c r="E109" s="2" t="n">
        <v>14820000</v>
      </c>
      <c r="F109" s="2" t="n">
        <v>243900</v>
      </c>
      <c r="G109" s="2" t="n">
        <v>1770000</v>
      </c>
      <c r="H109" s="2" t="n">
        <v>134450</v>
      </c>
      <c r="I109" s="2" t="n">
        <v>181250</v>
      </c>
      <c r="J109" s="2" t="n">
        <v>54870000</v>
      </c>
      <c r="K109" s="2" t="n">
        <v>3710000</v>
      </c>
      <c r="L109" s="2" t="n">
        <v>293730</v>
      </c>
      <c r="M109" s="2" t="n">
        <v>398490</v>
      </c>
      <c r="N109" s="2" t="n"/>
      <c r="O109" s="2" t="n">
        <v>2480000</v>
      </c>
      <c r="P109" s="2" t="n">
        <v>1910000</v>
      </c>
      <c r="Q109" s="2" t="n">
        <v>53220</v>
      </c>
      <c r="R109" s="2" t="n">
        <v>1900000</v>
      </c>
      <c r="S109" s="2" t="n">
        <v>854160</v>
      </c>
      <c r="T109" s="2" t="n">
        <v>139680</v>
      </c>
      <c r="U109" s="2" t="n">
        <v>7860000</v>
      </c>
      <c r="V109" s="2" t="n">
        <v>2140000</v>
      </c>
      <c r="W109" s="2" t="n">
        <v>880340</v>
      </c>
      <c r="X109" s="2" t="n">
        <v>218620</v>
      </c>
      <c r="Z109" s="2" t="n">
        <v>4910000</v>
      </c>
      <c r="AA109" s="2" t="n">
        <v>24490000</v>
      </c>
      <c r="AB109" s="2" t="n">
        <v>11460000</v>
      </c>
      <c r="AC109" s="2" t="n">
        <v>16180000</v>
      </c>
      <c r="AD109" s="2" t="n">
        <v>2160000</v>
      </c>
      <c r="AE109" s="2" t="n">
        <v>57930</v>
      </c>
      <c r="AF109" s="2" t="n">
        <v>335630</v>
      </c>
    </row>
    <row r="110" ht="16" customHeight="1">
      <c r="A110" s="2" t="inlineStr">
        <is>
          <t>01/11/2026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>
        <v>27460000</v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Z110" s="2" t="n"/>
      <c r="AA110" s="2" t="n"/>
      <c r="AB110" s="2" t="n"/>
      <c r="AC110" s="2" t="n"/>
      <c r="AD110" s="2" t="n"/>
      <c r="AE110" s="2" t="n">
        <v>21010</v>
      </c>
      <c r="AF110" s="2" t="n">
        <v>165480</v>
      </c>
    </row>
    <row r="111" ht="16" customHeight="1">
      <c r="A111" s="2" t="inlineStr">
        <is>
          <t>01/10/2026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>
        <v>30850000</v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Z111" s="2" t="n"/>
      <c r="AA111" s="2" t="n"/>
      <c r="AB111" s="2" t="n"/>
      <c r="AC111" s="2" t="n"/>
      <c r="AD111" s="2" t="n"/>
      <c r="AE111" s="2" t="n">
        <v>14760</v>
      </c>
      <c r="AF111" s="2" t="n">
        <v>97490</v>
      </c>
    </row>
    <row r="112" ht="16" customHeight="1">
      <c r="A112" s="2" t="inlineStr">
        <is>
          <t>01/09/2026</t>
        </is>
      </c>
      <c r="B112" s="2" t="n">
        <v>64459</v>
      </c>
      <c r="C112" s="2" t="n">
        <v>307630</v>
      </c>
      <c r="D112" s="2" t="n">
        <v>16050</v>
      </c>
      <c r="E112" s="2" t="n">
        <v>15050000</v>
      </c>
      <c r="F112" s="2" t="n">
        <v>130400</v>
      </c>
      <c r="G112" s="2" t="n">
        <v>1170000</v>
      </c>
      <c r="H112" s="2" t="n">
        <v>128360</v>
      </c>
      <c r="I112" s="2" t="n">
        <v>370870</v>
      </c>
      <c r="J112" s="2" t="n">
        <v>56050000</v>
      </c>
      <c r="K112" s="2" t="n">
        <v>2470000</v>
      </c>
      <c r="L112" s="2" t="n">
        <v>140530</v>
      </c>
      <c r="M112" s="2" t="n">
        <v>362040</v>
      </c>
      <c r="N112" s="2" t="n"/>
      <c r="O112" s="2" t="n">
        <v>4670000</v>
      </c>
      <c r="P112" s="2" t="n">
        <v>2280000</v>
      </c>
      <c r="Q112" s="2" t="n">
        <v>20190</v>
      </c>
      <c r="R112" s="2" t="n">
        <v>1950000</v>
      </c>
      <c r="S112" s="2" t="n">
        <v>534890</v>
      </c>
      <c r="T112" s="2" t="n">
        <v>35230</v>
      </c>
      <c r="U112" s="2" t="n">
        <v>7640000</v>
      </c>
      <c r="V112" s="2" t="n">
        <v>1390000</v>
      </c>
      <c r="W112" s="2" t="n">
        <v>666180</v>
      </c>
      <c r="X112" s="2" t="n">
        <v>226120</v>
      </c>
      <c r="Z112" s="2" t="n">
        <v>8060000.000000001</v>
      </c>
      <c r="AA112" s="2" t="n">
        <v>17650000</v>
      </c>
      <c r="AB112" s="2" t="n">
        <v>7640000</v>
      </c>
      <c r="AC112" s="2" t="n">
        <v>27960000</v>
      </c>
      <c r="AD112" s="2" t="n">
        <v>1530000</v>
      </c>
      <c r="AE112" s="2" t="n">
        <v>52890</v>
      </c>
      <c r="AF112" s="2" t="n">
        <v>305970</v>
      </c>
    </row>
    <row r="113" ht="16" customHeight="1">
      <c r="A113" s="2" t="inlineStr">
        <is>
          <t>01/08/2026</t>
        </is>
      </c>
      <c r="B113" s="2" t="n">
        <v>48650</v>
      </c>
      <c r="C113" s="2" t="n">
        <v>231120</v>
      </c>
      <c r="D113" s="2" t="n">
        <v>19770</v>
      </c>
      <c r="E113" s="2" t="n">
        <v>11410000</v>
      </c>
      <c r="F113" s="2" t="n">
        <v>116000</v>
      </c>
      <c r="G113" s="2" t="n">
        <v>811060</v>
      </c>
      <c r="H113" s="2" t="n">
        <v>79220</v>
      </c>
      <c r="I113" s="2" t="n">
        <v>103650</v>
      </c>
      <c r="J113" s="2" t="n">
        <v>52020000</v>
      </c>
      <c r="K113" s="2" t="n">
        <v>2360000</v>
      </c>
      <c r="L113" s="2" t="n">
        <v>251450</v>
      </c>
      <c r="M113" s="2" t="n">
        <v>352650</v>
      </c>
      <c r="N113" s="2" t="n"/>
      <c r="O113" s="2" t="n">
        <v>1900000</v>
      </c>
      <c r="P113" s="2" t="n">
        <v>1860000</v>
      </c>
      <c r="Q113" s="2" t="n">
        <v>31170</v>
      </c>
      <c r="R113" s="2" t="n">
        <v>2140000</v>
      </c>
      <c r="S113" s="2" t="n">
        <v>937890</v>
      </c>
      <c r="T113" s="2" t="n">
        <v>176160</v>
      </c>
      <c r="U113" s="2" t="n">
        <v>11990000</v>
      </c>
      <c r="V113" s="2" t="n">
        <v>2630000</v>
      </c>
      <c r="W113" s="2" t="n">
        <v>857960</v>
      </c>
      <c r="X113" s="2" t="n">
        <v>306710</v>
      </c>
      <c r="Z113" s="2" t="n">
        <v>6940000</v>
      </c>
      <c r="AA113" s="2" t="n">
        <v>22370000</v>
      </c>
      <c r="AB113" s="2" t="n">
        <v>6650000</v>
      </c>
      <c r="AC113" s="2" t="n">
        <v>25160000</v>
      </c>
      <c r="AD113" s="2" t="n">
        <v>1750000</v>
      </c>
      <c r="AE113" s="2" t="n">
        <v>58380</v>
      </c>
      <c r="AF113" s="2" t="n">
        <v>388860</v>
      </c>
    </row>
    <row r="114" ht="16" customHeight="1">
      <c r="A114" s="2" t="inlineStr">
        <is>
          <t>01/07/2026</t>
        </is>
      </c>
      <c r="B114" s="2" t="n">
        <v>64790</v>
      </c>
      <c r="C114" s="2" t="n">
        <v>285090</v>
      </c>
      <c r="D114" s="2" t="n">
        <v>19120</v>
      </c>
      <c r="E114" s="2" t="n">
        <v>14060000</v>
      </c>
      <c r="F114" s="2" t="n">
        <v>132640</v>
      </c>
      <c r="G114" s="2" t="n">
        <v>771430</v>
      </c>
      <c r="H114" s="2" t="n">
        <v>149020</v>
      </c>
      <c r="I114" s="2" t="n">
        <v>125200</v>
      </c>
      <c r="J114" s="2" t="n">
        <v>65870000.00000001</v>
      </c>
      <c r="K114" s="2" t="n">
        <v>3750000</v>
      </c>
      <c r="L114" s="2" t="n">
        <v>273420</v>
      </c>
      <c r="M114" s="2" t="n">
        <v>551700</v>
      </c>
      <c r="N114" s="2" t="n"/>
      <c r="O114" s="2" t="n">
        <v>4820000</v>
      </c>
      <c r="P114" s="2" t="n">
        <v>1740000</v>
      </c>
      <c r="Q114" s="2" t="n">
        <v>29490</v>
      </c>
      <c r="R114" s="2" t="n">
        <v>1950000</v>
      </c>
      <c r="S114" s="2" t="n">
        <v>945160</v>
      </c>
      <c r="T114" s="2" t="n">
        <v>246950</v>
      </c>
      <c r="U114" s="2" t="n">
        <v>8730000</v>
      </c>
      <c r="V114" s="2" t="n">
        <v>3520000</v>
      </c>
      <c r="W114" s="2" t="n">
        <v>1060000</v>
      </c>
      <c r="X114" s="2" t="n">
        <v>142630</v>
      </c>
      <c r="Z114" s="2" t="n">
        <v>5090000</v>
      </c>
      <c r="AA114" s="2" t="n">
        <v>18870000</v>
      </c>
      <c r="AB114" s="2" t="n">
        <v>16070000</v>
      </c>
      <c r="AC114" s="2" t="n">
        <v>28410000</v>
      </c>
      <c r="AD114" s="2" t="n">
        <v>1700000</v>
      </c>
      <c r="AE114" s="2" t="n">
        <v>54260</v>
      </c>
      <c r="AF114" s="2" t="n">
        <v>382610</v>
      </c>
    </row>
    <row r="115" ht="16" customHeight="1">
      <c r="A115" s="2" t="inlineStr">
        <is>
          <t>01/06/2026</t>
        </is>
      </c>
      <c r="B115" s="2" t="n">
        <v>43740</v>
      </c>
      <c r="C115" s="2" t="n">
        <v>228090</v>
      </c>
      <c r="D115" s="2" t="n">
        <v>15980</v>
      </c>
      <c r="E115" s="2" t="n">
        <v>17630000</v>
      </c>
      <c r="F115" s="2" t="n">
        <v>125430</v>
      </c>
      <c r="G115" s="2" t="n">
        <v>516350</v>
      </c>
      <c r="H115" s="2" t="n">
        <v>165220</v>
      </c>
      <c r="I115" s="2" t="n">
        <v>209290</v>
      </c>
      <c r="J115" s="2" t="n">
        <v>72390000</v>
      </c>
      <c r="K115" s="2" t="n">
        <v>3170000</v>
      </c>
      <c r="L115" s="2" t="n">
        <v>145900</v>
      </c>
      <c r="M115" s="2" t="n">
        <v>444970</v>
      </c>
      <c r="N115" s="2" t="n"/>
      <c r="O115" s="2" t="n">
        <v>2360000</v>
      </c>
      <c r="P115" s="2" t="n">
        <v>2650000</v>
      </c>
      <c r="Q115" s="2" t="n">
        <v>22930</v>
      </c>
      <c r="R115" s="2" t="n">
        <v>1270000</v>
      </c>
      <c r="S115" s="2" t="n">
        <v>910470</v>
      </c>
      <c r="T115" s="2" t="n">
        <v>409690</v>
      </c>
      <c r="U115" s="2" t="n">
        <v>7720000</v>
      </c>
      <c r="V115" s="2" t="n">
        <v>2610000</v>
      </c>
      <c r="W115" s="2" t="n">
        <v>1420000</v>
      </c>
      <c r="X115" s="2" t="n">
        <v>85820</v>
      </c>
      <c r="Z115" s="2" t="n">
        <v>6010000</v>
      </c>
      <c r="AA115" s="2" t="n">
        <v>18750000</v>
      </c>
      <c r="AB115" s="2" t="n">
        <v>21490000</v>
      </c>
      <c r="AC115" s="2" t="n">
        <v>22630000</v>
      </c>
      <c r="AD115" s="2" t="n">
        <v>2120000</v>
      </c>
      <c r="AE115" s="2" t="n">
        <v>64900.00000000001</v>
      </c>
      <c r="AF115" s="2" t="n">
        <v>483140</v>
      </c>
    </row>
    <row r="116" ht="16" customHeight="1">
      <c r="A116" s="2" t="inlineStr">
        <is>
          <t>01/05/2026</t>
        </is>
      </c>
      <c r="B116" s="2" t="n">
        <v>70570</v>
      </c>
      <c r="C116" s="2" t="n">
        <v>341790</v>
      </c>
      <c r="D116" s="2" t="n">
        <v>20960</v>
      </c>
      <c r="E116" s="2" t="n">
        <v>25010000</v>
      </c>
      <c r="F116" s="2" t="n">
        <v>193690</v>
      </c>
      <c r="G116" s="2" t="n">
        <v>859440</v>
      </c>
      <c r="H116" s="2" t="n">
        <v>260190</v>
      </c>
      <c r="I116" s="2" t="n">
        <v>218210</v>
      </c>
      <c r="J116" s="2" t="n">
        <v>58910000</v>
      </c>
      <c r="K116" s="2" t="n">
        <v>3150000</v>
      </c>
      <c r="L116" s="2" t="n">
        <v>418940</v>
      </c>
      <c r="M116" s="2" t="n">
        <v>574650</v>
      </c>
      <c r="N116" s="2" t="n"/>
      <c r="O116" s="2" t="n">
        <v>4330000</v>
      </c>
      <c r="P116" s="2" t="n">
        <v>1990000</v>
      </c>
      <c r="Q116" s="2" t="n">
        <v>39260</v>
      </c>
      <c r="R116" s="2" t="n">
        <v>2660000</v>
      </c>
      <c r="S116" s="2" t="n">
        <v>1300000</v>
      </c>
      <c r="T116" s="2" t="n">
        <v>170000</v>
      </c>
      <c r="U116" s="2" t="n">
        <v>5880000</v>
      </c>
      <c r="V116" s="2" t="n">
        <v>4970000</v>
      </c>
      <c r="W116" s="2" t="n">
        <v>1060000</v>
      </c>
      <c r="X116" s="2" t="n">
        <v>96890</v>
      </c>
      <c r="Z116" s="2" t="n">
        <v>6040000</v>
      </c>
      <c r="AA116" s="2" t="n">
        <v>27200000</v>
      </c>
      <c r="AB116" s="2" t="n">
        <v>10300000</v>
      </c>
      <c r="AC116" s="2" t="n">
        <v>22860000</v>
      </c>
      <c r="AD116" s="2" t="n">
        <v>2490000</v>
      </c>
      <c r="AE116" s="2" t="n">
        <v>73270</v>
      </c>
      <c r="AF116" s="2" t="n">
        <v>452430</v>
      </c>
    </row>
    <row r="117" ht="16" customHeight="1">
      <c r="A117" s="2" t="inlineStr">
        <is>
          <t>01/04/2026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>
        <v>27630000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Z117" s="2" t="n"/>
      <c r="AA117" s="2" t="n"/>
      <c r="AB117" s="2" t="n"/>
      <c r="AC117" s="2" t="n"/>
      <c r="AD117" s="2" t="n"/>
      <c r="AE117" s="2" t="n">
        <v>38270</v>
      </c>
      <c r="AF117" s="2" t="n">
        <v>219510</v>
      </c>
    </row>
    <row r="118" ht="16" customHeight="1">
      <c r="A118" s="2" t="inlineStr">
        <is>
          <t>01/03/2026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>
        <v>26780000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Z118" s="2" t="n"/>
      <c r="AA118" s="2" t="n"/>
      <c r="AB118" s="2" t="n"/>
      <c r="AC118" s="2" t="n"/>
      <c r="AD118" s="2" t="n"/>
      <c r="AE118" s="2" t="n">
        <v>26630</v>
      </c>
      <c r="AF118" s="2" t="n">
        <v>157850</v>
      </c>
    </row>
    <row r="119" ht="16" customHeight="1">
      <c r="A119" s="2" t="inlineStr">
        <is>
          <t>01/02/2026</t>
        </is>
      </c>
      <c r="B119" s="2" t="n">
        <v>62780</v>
      </c>
      <c r="C119" s="2" t="n">
        <v>910120</v>
      </c>
      <c r="D119" s="2" t="n">
        <v>22080</v>
      </c>
      <c r="E119" s="2" t="n">
        <v>19190000</v>
      </c>
      <c r="F119" s="2" t="n">
        <v>190490</v>
      </c>
      <c r="G119" s="2" t="n">
        <v>829680</v>
      </c>
      <c r="H119" s="2" t="n">
        <v>169040</v>
      </c>
      <c r="I119" s="2" t="n">
        <v>162980</v>
      </c>
      <c r="J119" s="2" t="n">
        <v>62360000</v>
      </c>
      <c r="K119" s="2" t="n">
        <v>3520000</v>
      </c>
      <c r="L119" s="2" t="n">
        <v>423110</v>
      </c>
      <c r="M119" s="2" t="n">
        <v>591900</v>
      </c>
      <c r="N119" s="2" t="n"/>
      <c r="O119" s="2" t="n">
        <v>2470000</v>
      </c>
      <c r="P119" s="2" t="n">
        <v>2680000</v>
      </c>
      <c r="Q119" s="2" t="n">
        <v>32920</v>
      </c>
      <c r="R119" s="2" t="n">
        <v>1750000</v>
      </c>
      <c r="S119" s="2" t="n">
        <v>1430000</v>
      </c>
      <c r="T119" s="2" t="n">
        <v>87530</v>
      </c>
      <c r="U119" s="2" t="n">
        <v>5920000</v>
      </c>
      <c r="V119" s="2" t="n">
        <v>4290000</v>
      </c>
      <c r="W119" s="2" t="n">
        <v>1470000</v>
      </c>
      <c r="X119" s="2" t="n">
        <v>109040</v>
      </c>
      <c r="Z119" s="2" t="n">
        <v>4860000</v>
      </c>
      <c r="AA119" s="2" t="n">
        <v>22360000</v>
      </c>
      <c r="AB119" s="2" t="n">
        <v>12490000</v>
      </c>
      <c r="AC119" s="2" t="n">
        <v>20190000</v>
      </c>
      <c r="AD119" s="2" t="n">
        <v>2140000</v>
      </c>
      <c r="AE119" s="2" t="n">
        <v>62700</v>
      </c>
      <c r="AF119" s="2" t="n">
        <v>424110</v>
      </c>
    </row>
    <row r="120" ht="16" customHeight="1">
      <c r="A120" s="2" t="inlineStr">
        <is>
          <t>01/01/2026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>
        <v>32650000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Z120" s="2" t="n"/>
      <c r="AA120" s="2" t="n"/>
      <c r="AB120" s="2" t="n"/>
      <c r="AC120" s="2" t="n"/>
      <c r="AD120" s="2" t="n"/>
      <c r="AE120" s="2" t="n">
        <v>26710</v>
      </c>
      <c r="AF120" s="2" t="n">
        <v>151750</v>
      </c>
    </row>
    <row r="121" ht="16" customHeight="1">
      <c r="A121" s="2" t="inlineStr">
        <is>
          <t>12/31/2025</t>
        </is>
      </c>
      <c r="B121" s="2" t="n"/>
      <c r="C121" s="2" t="n"/>
      <c r="D121" s="2" t="n"/>
      <c r="E121" s="2" t="n">
        <v>13910000</v>
      </c>
      <c r="F121" s="2" t="n">
        <v>339860</v>
      </c>
      <c r="G121" s="2" t="n">
        <v>580300</v>
      </c>
      <c r="H121" s="2" t="n">
        <v>175350</v>
      </c>
      <c r="I121" s="2" t="n">
        <v>325830</v>
      </c>
      <c r="J121" s="2" t="n">
        <v>42820000</v>
      </c>
      <c r="K121" s="2" t="n"/>
      <c r="L121" s="2" t="n"/>
      <c r="M121" s="2" t="n"/>
      <c r="N121" s="2" t="n"/>
      <c r="O121" s="2" t="n">
        <v>2230000</v>
      </c>
      <c r="P121" s="2" t="n">
        <v>2250000</v>
      </c>
      <c r="Q121" s="2" t="n"/>
      <c r="R121" s="2" t="n"/>
      <c r="S121" s="2" t="n"/>
      <c r="T121" s="2" t="n"/>
      <c r="U121" s="2" t="n"/>
      <c r="V121" s="2" t="n"/>
      <c r="W121" s="2" t="n"/>
      <c r="X121" s="2" t="n"/>
      <c r="Z121" s="2" t="n">
        <v>3850000</v>
      </c>
      <c r="AA121" s="2" t="n">
        <v>14200000</v>
      </c>
      <c r="AB121" s="2" t="n">
        <v>6420000</v>
      </c>
      <c r="AC121" s="2" t="n">
        <v>15920000</v>
      </c>
      <c r="AD121" s="2" t="n">
        <v>1110000</v>
      </c>
      <c r="AE121" s="2" t="n">
        <v>45910</v>
      </c>
      <c r="AF121" s="2" t="n">
        <v>260900</v>
      </c>
    </row>
    <row r="122" ht="16" customHeight="1">
      <c r="A122" s="2" t="inlineStr">
        <is>
          <t>12/30/2025</t>
        </is>
      </c>
      <c r="B122" s="2" t="n">
        <v>94980</v>
      </c>
      <c r="C122" s="2" t="n">
        <v>261770</v>
      </c>
      <c r="D122" s="2" t="n">
        <v>71160</v>
      </c>
      <c r="E122" s="2" t="n">
        <v>12610000</v>
      </c>
      <c r="F122" s="2" t="n">
        <v>148500</v>
      </c>
      <c r="G122" s="2" t="n">
        <v>335140</v>
      </c>
      <c r="H122" s="2" t="n">
        <v>112410</v>
      </c>
      <c r="I122" s="2" t="n">
        <v>81890</v>
      </c>
      <c r="J122" s="2" t="n">
        <v>53220000</v>
      </c>
      <c r="K122" s="2" t="n">
        <v>5980000</v>
      </c>
      <c r="L122" s="2" t="n">
        <v>255270</v>
      </c>
      <c r="M122" s="2" t="n">
        <v>353020</v>
      </c>
      <c r="N122" s="2" t="n"/>
      <c r="O122" s="2" t="n">
        <v>1560000</v>
      </c>
      <c r="P122" s="2" t="n">
        <v>1710000</v>
      </c>
      <c r="Q122" s="2" t="n">
        <v>23990</v>
      </c>
      <c r="R122" s="2" t="n">
        <v>1340000</v>
      </c>
      <c r="S122" s="2" t="n">
        <v>734690</v>
      </c>
      <c r="T122" s="2" t="n">
        <v>41660</v>
      </c>
      <c r="U122" s="2" t="n">
        <v>3340000</v>
      </c>
      <c r="V122" s="2" t="n">
        <v>1520000</v>
      </c>
      <c r="W122" s="2" t="n">
        <v>828600</v>
      </c>
      <c r="X122" s="2" t="n">
        <v>127260</v>
      </c>
      <c r="Z122" s="2" t="n">
        <v>3760000</v>
      </c>
      <c r="AA122" s="2" t="n">
        <v>15210000</v>
      </c>
      <c r="AB122" s="2" t="n">
        <v>11360000</v>
      </c>
      <c r="AC122" s="2" t="n">
        <v>12740000</v>
      </c>
      <c r="AD122" s="2" t="n">
        <v>1260000</v>
      </c>
      <c r="AE122" s="2" t="n">
        <v>49160</v>
      </c>
      <c r="AF122" s="2" t="n">
        <v>322340</v>
      </c>
    </row>
    <row r="123" ht="16" customHeight="1">
      <c r="A123" s="2" t="inlineStr">
        <is>
          <t>12/29/2025</t>
        </is>
      </c>
      <c r="B123" s="2" t="n">
        <v>64519</v>
      </c>
      <c r="C123" s="2" t="n">
        <v>330380</v>
      </c>
      <c r="D123" s="2" t="n">
        <v>43220</v>
      </c>
      <c r="E123" s="2" t="n">
        <v>17350000</v>
      </c>
      <c r="F123" s="2" t="n">
        <v>164360</v>
      </c>
      <c r="G123" s="2" t="n">
        <v>527430</v>
      </c>
      <c r="H123" s="2" t="n">
        <v>100990</v>
      </c>
      <c r="I123" s="2" t="n">
        <v>313680</v>
      </c>
      <c r="J123" s="2" t="n">
        <v>84620000</v>
      </c>
      <c r="K123" s="2" t="n">
        <v>4090000</v>
      </c>
      <c r="L123" s="2" t="n">
        <v>283400</v>
      </c>
      <c r="M123" s="2" t="n">
        <v>518110</v>
      </c>
      <c r="N123" s="2" t="n"/>
      <c r="O123" s="2" t="n">
        <v>1950000</v>
      </c>
      <c r="P123" s="2" t="n">
        <v>1530000</v>
      </c>
      <c r="Q123" s="2" t="n">
        <v>34290</v>
      </c>
      <c r="R123" s="2" t="n">
        <v>930640</v>
      </c>
      <c r="S123" s="2" t="n">
        <v>1050000</v>
      </c>
      <c r="T123" s="2" t="n">
        <v>148190</v>
      </c>
      <c r="U123" s="2" t="n">
        <v>4220000</v>
      </c>
      <c r="V123" s="2" t="n">
        <v>2380000</v>
      </c>
      <c r="W123" s="2" t="n">
        <v>959320</v>
      </c>
      <c r="X123" s="2" t="n">
        <v>64530</v>
      </c>
      <c r="Z123" s="2" t="n">
        <v>4170000</v>
      </c>
      <c r="AA123" s="2" t="n">
        <v>15290000</v>
      </c>
      <c r="AB123" s="2" t="n">
        <v>10160000</v>
      </c>
      <c r="AC123" s="2" t="n">
        <v>14070000</v>
      </c>
      <c r="AD123" s="2" t="n">
        <v>1560000</v>
      </c>
      <c r="AE123" s="2" t="n">
        <v>75310</v>
      </c>
      <c r="AF123" s="2" t="n">
        <v>563240</v>
      </c>
    </row>
    <row r="124" ht="16" customHeight="1">
      <c r="A124" s="2" t="inlineStr">
        <is>
          <t>12/28/2025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>
        <v>24770000</v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Z124" s="2" t="n"/>
      <c r="AA124" s="2" t="n"/>
      <c r="AB124" s="2" t="n"/>
      <c r="AC124" s="2" t="n"/>
      <c r="AD124" s="2" t="n"/>
      <c r="AE124" s="2" t="n">
        <v>21000</v>
      </c>
      <c r="AF124" s="2" t="n">
        <v>141120</v>
      </c>
    </row>
    <row r="125" ht="16" customHeight="1">
      <c r="A125" s="2" t="inlineStr">
        <is>
          <t>12/27/2025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>
        <v>28690000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Z125" s="2" t="n"/>
      <c r="AA125" s="2" t="n"/>
      <c r="AB125" s="2" t="n"/>
      <c r="AC125" s="2" t="n"/>
      <c r="AD125" s="2" t="n"/>
      <c r="AE125" s="2" t="n">
        <v>19680</v>
      </c>
      <c r="AF125" s="2" t="n">
        <v>116380</v>
      </c>
    </row>
    <row r="126" ht="16" customHeight="1">
      <c r="A126" s="2" t="inlineStr">
        <is>
          <t>12/26/2025</t>
        </is>
      </c>
      <c r="B126" s="2" t="n">
        <v>55810</v>
      </c>
      <c r="C126" s="2" t="n">
        <v>278670</v>
      </c>
      <c r="D126" s="2" t="n">
        <v>53550</v>
      </c>
      <c r="E126" s="2" t="n">
        <v>12660000</v>
      </c>
      <c r="F126" s="2" t="n">
        <v>133580</v>
      </c>
      <c r="G126" s="2" t="n">
        <v>384670</v>
      </c>
      <c r="H126" s="2" t="n">
        <v>61210</v>
      </c>
      <c r="I126" s="2" t="n">
        <v>90630</v>
      </c>
      <c r="J126" s="2" t="n">
        <v>71800000</v>
      </c>
      <c r="K126" s="2" t="n">
        <v>3610000</v>
      </c>
      <c r="L126" s="2" t="n">
        <v>192030</v>
      </c>
      <c r="M126" s="2" t="n">
        <v>349820</v>
      </c>
      <c r="N126" s="2" t="n"/>
      <c r="O126" s="2" t="n">
        <v>1560000</v>
      </c>
      <c r="P126" s="2" t="n">
        <v>1590000</v>
      </c>
      <c r="Q126" s="2" t="n">
        <v>26440</v>
      </c>
      <c r="R126" s="2" t="n">
        <v>2630000</v>
      </c>
      <c r="S126" s="2" t="n">
        <v>1250000</v>
      </c>
      <c r="T126" s="2" t="n">
        <v>43970</v>
      </c>
      <c r="U126" s="2" t="n">
        <v>5410000</v>
      </c>
      <c r="V126" s="2" t="n">
        <v>2400000</v>
      </c>
      <c r="W126" s="2" t="n">
        <v>985660</v>
      </c>
      <c r="X126" s="2" t="n">
        <v>119100</v>
      </c>
      <c r="Z126" s="2" t="n">
        <v>2820000</v>
      </c>
      <c r="AA126" s="2" t="n">
        <v>15950000</v>
      </c>
      <c r="AB126" s="2" t="n">
        <v>9290000</v>
      </c>
      <c r="AC126" s="2" t="n">
        <v>12300000</v>
      </c>
      <c r="AD126" s="2" t="n">
        <v>1510000</v>
      </c>
      <c r="AE126" s="2" t="n">
        <v>66260</v>
      </c>
      <c r="AF126" s="2" t="n">
        <v>368380</v>
      </c>
    </row>
    <row r="127" ht="16" customHeight="1">
      <c r="A127" s="2" t="inlineStr">
        <is>
          <t>12/25/2025</t>
        </is>
      </c>
      <c r="B127" s="2" t="n"/>
      <c r="C127" s="2" t="n"/>
      <c r="D127" s="2" t="n"/>
      <c r="E127" s="2" t="n">
        <v>7790000</v>
      </c>
      <c r="F127" s="2" t="n"/>
      <c r="G127" s="2" t="n"/>
      <c r="H127" s="2" t="n"/>
      <c r="I127" s="2" t="n"/>
      <c r="J127" s="2" t="n">
        <v>37570000</v>
      </c>
      <c r="K127" s="2" t="n"/>
      <c r="L127" s="2" t="n"/>
      <c r="M127" s="2" t="n"/>
      <c r="N127" s="2" t="n"/>
      <c r="O127" s="2" t="n"/>
      <c r="P127" s="2" t="n">
        <v>743430</v>
      </c>
      <c r="Q127" s="2" t="n"/>
      <c r="R127" s="2" t="n"/>
      <c r="S127" s="2" t="n"/>
      <c r="T127" s="2" t="n"/>
      <c r="U127" s="2" t="n"/>
      <c r="V127" s="2" t="n"/>
      <c r="W127" s="2" t="n"/>
      <c r="X127" s="2" t="n"/>
      <c r="Z127" s="2" t="n"/>
      <c r="AA127" s="2" t="n"/>
      <c r="AB127" s="2" t="n">
        <v>3480000</v>
      </c>
      <c r="AC127" s="2" t="n"/>
      <c r="AD127" s="2" t="n">
        <v>1270000</v>
      </c>
      <c r="AE127" s="2" t="n">
        <v>25910</v>
      </c>
      <c r="AF127" s="2" t="n">
        <v>230780</v>
      </c>
    </row>
    <row r="128" ht="16" customHeight="1">
      <c r="A128" s="2" t="inlineStr">
        <is>
          <t>12/24/2025</t>
        </is>
      </c>
      <c r="B128" s="2" t="n">
        <v>117340</v>
      </c>
      <c r="C128" s="2" t="n">
        <v>232110</v>
      </c>
      <c r="D128" s="2" t="n">
        <v>27740</v>
      </c>
      <c r="E128" s="2" t="n">
        <v>7790000</v>
      </c>
      <c r="F128" s="2" t="n">
        <v>30480</v>
      </c>
      <c r="G128" s="2" t="n">
        <v>200700</v>
      </c>
      <c r="H128" s="2" t="n">
        <v>42700</v>
      </c>
      <c r="I128" s="2" t="n">
        <v>53120</v>
      </c>
      <c r="J128" s="2" t="n">
        <v>96720000</v>
      </c>
      <c r="K128" s="2" t="n">
        <v>3780000</v>
      </c>
      <c r="L128" s="2" t="n">
        <v>193480</v>
      </c>
      <c r="M128" s="2" t="n">
        <v>642270</v>
      </c>
      <c r="N128" s="2" t="n"/>
      <c r="O128" s="2" t="n">
        <v>1200000</v>
      </c>
      <c r="P128" s="2" t="n">
        <v>743430</v>
      </c>
      <c r="Q128" s="2" t="n">
        <v>27720</v>
      </c>
      <c r="R128" s="2" t="n">
        <v>1240000</v>
      </c>
      <c r="S128" s="2" t="n">
        <v>1250000</v>
      </c>
      <c r="T128" s="2" t="n">
        <v>216420</v>
      </c>
      <c r="U128" s="2" t="n">
        <v>5330000</v>
      </c>
      <c r="V128" s="2" t="n">
        <v>2590000</v>
      </c>
      <c r="W128" s="2" t="n">
        <v>862050</v>
      </c>
      <c r="X128" s="2" t="n">
        <v>171030</v>
      </c>
      <c r="Z128" s="2" t="n">
        <v>2480000</v>
      </c>
      <c r="AA128" s="2" t="n">
        <v>9030000</v>
      </c>
      <c r="AB128" s="2" t="n">
        <v>3480000</v>
      </c>
      <c r="AC128" s="2" t="n">
        <v>7100000</v>
      </c>
      <c r="AD128" s="2" t="n">
        <v>1270000</v>
      </c>
      <c r="AE128" s="2" t="n">
        <v>35440</v>
      </c>
      <c r="AF128" s="2" t="n">
        <v>232810</v>
      </c>
    </row>
    <row r="129" ht="16" customHeight="1">
      <c r="A129" s="2" t="inlineStr">
        <is>
          <t>12/23/2025</t>
        </is>
      </c>
      <c r="B129" s="2" t="n">
        <v>74080</v>
      </c>
      <c r="C129" s="2" t="n">
        <v>219580</v>
      </c>
      <c r="D129" s="2" t="n">
        <v>23930</v>
      </c>
      <c r="E129" s="2" t="n">
        <v>12260000</v>
      </c>
      <c r="F129" s="2" t="n">
        <v>202490</v>
      </c>
      <c r="G129" s="2" t="n">
        <v>495280</v>
      </c>
      <c r="H129" s="2" t="n">
        <v>114150</v>
      </c>
      <c r="I129" s="2" t="n">
        <v>128970</v>
      </c>
      <c r="J129" s="2" t="n">
        <v>43790000</v>
      </c>
      <c r="K129" s="2" t="n">
        <v>3260000</v>
      </c>
      <c r="L129" s="2" t="n">
        <v>123500</v>
      </c>
      <c r="M129" s="2" t="n">
        <v>197650</v>
      </c>
      <c r="N129" s="2" t="n"/>
      <c r="O129" s="2" t="n">
        <v>1990000</v>
      </c>
      <c r="P129" s="2" t="n">
        <v>1770000</v>
      </c>
      <c r="Q129" s="2" t="n">
        <v>16850</v>
      </c>
      <c r="R129" s="2" t="n">
        <v>2050000</v>
      </c>
      <c r="S129" s="2" t="n">
        <v>556880</v>
      </c>
      <c r="T129" s="2" t="n">
        <v>72350</v>
      </c>
      <c r="U129" s="2" t="n">
        <v>3540000</v>
      </c>
      <c r="V129" s="2" t="n">
        <v>2690000</v>
      </c>
      <c r="W129" s="2" t="n">
        <v>809030</v>
      </c>
      <c r="X129" s="2" t="n">
        <v>117900</v>
      </c>
      <c r="Z129" s="2" t="n">
        <v>3350000</v>
      </c>
      <c r="AA129" s="2" t="n">
        <v>16630000</v>
      </c>
      <c r="AB129" s="2" t="n">
        <v>17080000</v>
      </c>
      <c r="AC129" s="2" t="n">
        <v>15890000</v>
      </c>
      <c r="AD129" s="2" t="n">
        <v>1670000</v>
      </c>
      <c r="AE129" s="2" t="n">
        <v>49120</v>
      </c>
      <c r="AF129" s="2" t="n">
        <v>427870</v>
      </c>
    </row>
    <row r="130" ht="16" customHeight="1">
      <c r="A130" s="2" t="inlineStr">
        <is>
          <t>12/22/2025</t>
        </is>
      </c>
      <c r="B130" s="2" t="n">
        <v>214560</v>
      </c>
      <c r="C130" s="2" t="n">
        <v>279340</v>
      </c>
      <c r="D130" s="2" t="n">
        <v>27640</v>
      </c>
      <c r="E130" s="2" t="n">
        <v>17890000</v>
      </c>
      <c r="F130" s="2" t="n">
        <v>160320</v>
      </c>
      <c r="G130" s="2" t="n">
        <v>457970</v>
      </c>
      <c r="H130" s="2" t="n">
        <v>143340</v>
      </c>
      <c r="I130" s="2" t="n">
        <v>64230.00000000001</v>
      </c>
      <c r="J130" s="2" t="n">
        <v>59450000</v>
      </c>
      <c r="K130" s="2" t="n">
        <v>2260000</v>
      </c>
      <c r="L130" s="2" t="n">
        <v>220120</v>
      </c>
      <c r="M130" s="2" t="n">
        <v>200230</v>
      </c>
      <c r="N130" s="2" t="n"/>
      <c r="O130" s="2" t="n">
        <v>1790000</v>
      </c>
      <c r="P130" s="2" t="n">
        <v>3280000</v>
      </c>
      <c r="Q130" s="2" t="n">
        <v>17610</v>
      </c>
      <c r="R130" s="2" t="n">
        <v>675240</v>
      </c>
      <c r="S130" s="2" t="n">
        <v>826490</v>
      </c>
      <c r="T130" s="2" t="n">
        <v>92790</v>
      </c>
      <c r="U130" s="2" t="n">
        <v>4690000</v>
      </c>
      <c r="V130" s="2" t="n">
        <v>3310000</v>
      </c>
      <c r="W130" s="2" t="n">
        <v>834120</v>
      </c>
      <c r="X130" s="2" t="n">
        <v>256790</v>
      </c>
      <c r="Z130" s="2" t="n">
        <v>4180000</v>
      </c>
      <c r="AA130" s="2" t="n">
        <v>20440000</v>
      </c>
      <c r="AB130" s="2" t="n">
        <v>35920000</v>
      </c>
      <c r="AC130" s="2" t="n">
        <v>19230000</v>
      </c>
      <c r="AD130" s="2" t="n">
        <v>2200000</v>
      </c>
      <c r="AE130" s="2" t="n">
        <v>53400</v>
      </c>
      <c r="AF130" s="2" t="n">
        <v>337840</v>
      </c>
    </row>
    <row r="131" ht="16" customHeight="1">
      <c r="A131" s="2" t="inlineStr">
        <is>
          <t>12/21/2025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>
        <v>27820000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Z131" s="2" t="n"/>
      <c r="AA131" s="2" t="n"/>
      <c r="AB131" s="2" t="n"/>
      <c r="AC131" s="2" t="n"/>
      <c r="AD131" s="2" t="n"/>
      <c r="AE131" s="2" t="n">
        <v>26470</v>
      </c>
      <c r="AF131" s="2" t="n">
        <v>180210</v>
      </c>
    </row>
    <row r="132" ht="16" customHeight="1">
      <c r="A132" s="2" t="inlineStr">
        <is>
          <t>12/20/2025</t>
        </is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>
        <v>33830000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Z132" s="2" t="n"/>
      <c r="AA132" s="2" t="n"/>
      <c r="AB132" s="2" t="n"/>
      <c r="AC132" s="2" t="n"/>
      <c r="AD132" s="2" t="n"/>
      <c r="AE132" s="2" t="n">
        <v>19660</v>
      </c>
      <c r="AF132" s="2" t="n">
        <v>104970</v>
      </c>
    </row>
    <row r="133" ht="16" customHeight="1">
      <c r="A133" s="2" t="inlineStr">
        <is>
          <t>12/19/2025</t>
        </is>
      </c>
      <c r="B133" s="2" t="n">
        <v>44480</v>
      </c>
      <c r="C133" s="2" t="n">
        <v>225360</v>
      </c>
      <c r="D133" s="2" t="n">
        <v>11280</v>
      </c>
      <c r="E133" s="2" t="n">
        <v>18200000</v>
      </c>
      <c r="F133" s="2" t="n">
        <v>176980</v>
      </c>
      <c r="G133" s="2" t="n">
        <v>421000</v>
      </c>
      <c r="H133" s="2" t="n">
        <v>101450</v>
      </c>
      <c r="I133" s="2" t="n">
        <v>91440</v>
      </c>
      <c r="J133" s="2" t="n">
        <v>48300000</v>
      </c>
      <c r="K133" s="2" t="n">
        <v>1910000</v>
      </c>
      <c r="L133" s="2" t="n">
        <v>156300</v>
      </c>
      <c r="M133" s="2" t="n">
        <v>205030</v>
      </c>
      <c r="N133" s="2" t="n"/>
      <c r="O133" s="2" t="n">
        <v>2000000</v>
      </c>
      <c r="P133" s="2" t="n">
        <v>3410000</v>
      </c>
      <c r="Q133" s="2" t="n">
        <v>11800</v>
      </c>
      <c r="R133" s="2" t="n">
        <v>1000000</v>
      </c>
      <c r="S133" s="2" t="n">
        <v>525940</v>
      </c>
      <c r="T133" s="2" t="n">
        <v>138050</v>
      </c>
      <c r="U133" s="2" t="n">
        <v>4080000</v>
      </c>
      <c r="V133" s="2" t="n">
        <v>3080000</v>
      </c>
      <c r="W133" s="2" t="n">
        <v>674410</v>
      </c>
      <c r="X133" s="2" t="n">
        <v>371480</v>
      </c>
      <c r="Z133" s="2" t="n">
        <v>4950000</v>
      </c>
      <c r="AA133" s="2" t="n">
        <v>20520000</v>
      </c>
      <c r="AB133" s="2" t="n">
        <v>7120000</v>
      </c>
      <c r="AC133" s="2" t="n">
        <v>22060000</v>
      </c>
      <c r="AD133" s="2" t="n">
        <v>1610000</v>
      </c>
      <c r="AE133" s="2" t="n">
        <v>64260.00000000001</v>
      </c>
      <c r="AF133" s="2" t="n">
        <v>577970</v>
      </c>
    </row>
    <row r="134" ht="16" customHeight="1">
      <c r="A134" s="2" t="inlineStr">
        <is>
          <t>12/18/2025</t>
        </is>
      </c>
      <c r="B134" s="2" t="n">
        <v>61070</v>
      </c>
      <c r="C134" s="2" t="n">
        <v>200890</v>
      </c>
      <c r="D134" s="2" t="n">
        <v>49440</v>
      </c>
      <c r="E134" s="2" t="n">
        <v>20890000</v>
      </c>
      <c r="F134" s="2" t="n">
        <v>85120</v>
      </c>
      <c r="G134" s="2" t="n">
        <v>326180</v>
      </c>
      <c r="H134" s="2" t="n">
        <v>100530</v>
      </c>
      <c r="I134" s="2" t="n">
        <v>106540</v>
      </c>
      <c r="J134" s="2" t="n">
        <v>83230000</v>
      </c>
      <c r="K134" s="2" t="n">
        <v>1970000</v>
      </c>
      <c r="L134" s="2" t="n">
        <v>92550</v>
      </c>
      <c r="M134" s="2" t="n">
        <v>260370</v>
      </c>
      <c r="N134" s="2" t="n"/>
      <c r="O134" s="2" t="n">
        <v>1990000</v>
      </c>
      <c r="P134" s="2" t="n">
        <v>2770000</v>
      </c>
      <c r="Q134" s="2" t="n">
        <v>14000</v>
      </c>
      <c r="R134" s="2" t="n">
        <v>565330</v>
      </c>
      <c r="S134" s="2" t="n">
        <v>804290</v>
      </c>
      <c r="T134" s="2" t="n">
        <v>267090</v>
      </c>
      <c r="U134" s="2" t="n">
        <v>5800000</v>
      </c>
      <c r="V134" s="2" t="n">
        <v>2750000</v>
      </c>
      <c r="W134" s="2" t="n">
        <v>620330</v>
      </c>
      <c r="X134" s="2" t="n">
        <v>124420</v>
      </c>
      <c r="Z134" s="2" t="n">
        <v>7750000</v>
      </c>
      <c r="AA134" s="2" t="n">
        <v>19640000</v>
      </c>
      <c r="AB134" s="2" t="n">
        <v>8430000</v>
      </c>
      <c r="AC134" s="2" t="n">
        <v>17530000</v>
      </c>
      <c r="AD134" s="2" t="n">
        <v>1560000</v>
      </c>
      <c r="AE134" s="2" t="n">
        <v>73950</v>
      </c>
      <c r="AF134" s="2" t="n">
        <v>668530</v>
      </c>
    </row>
    <row r="135" ht="16" customHeight="1">
      <c r="A135" s="2" t="inlineStr">
        <is>
          <t>12/17/2025</t>
        </is>
      </c>
      <c r="B135" s="2" t="n">
        <v>40100</v>
      </c>
      <c r="C135" s="2" t="n">
        <v>209410</v>
      </c>
      <c r="D135" s="2" t="n">
        <v>12460</v>
      </c>
      <c r="E135" s="2" t="n">
        <v>13790000</v>
      </c>
      <c r="F135" s="2" t="n">
        <v>149970</v>
      </c>
      <c r="G135" s="2" t="n">
        <v>536100</v>
      </c>
      <c r="H135" s="2" t="n">
        <v>219620</v>
      </c>
      <c r="I135" s="2" t="n">
        <v>157490</v>
      </c>
      <c r="J135" s="2" t="n">
        <v>103050000</v>
      </c>
      <c r="K135" s="2" t="n">
        <v>2190000</v>
      </c>
      <c r="L135" s="2" t="n">
        <v>140220</v>
      </c>
      <c r="M135" s="2" t="n">
        <v>225960</v>
      </c>
      <c r="N135" s="2" t="n"/>
      <c r="O135" s="2" t="n">
        <v>1590000</v>
      </c>
      <c r="P135" s="2" t="n">
        <v>1620000</v>
      </c>
      <c r="Q135" s="2" t="n">
        <v>15200</v>
      </c>
      <c r="R135" s="2" t="n">
        <v>414900</v>
      </c>
      <c r="S135" s="2" t="n">
        <v>828820</v>
      </c>
      <c r="T135" s="2" t="n">
        <v>242260</v>
      </c>
      <c r="U135" s="2" t="n">
        <v>5910000</v>
      </c>
      <c r="V135" s="2" t="n">
        <v>5400000</v>
      </c>
      <c r="W135" s="2" t="n">
        <v>763600</v>
      </c>
      <c r="X135" s="2" t="n">
        <v>95350</v>
      </c>
      <c r="Z135" s="2" t="n">
        <v>6590000</v>
      </c>
      <c r="AA135" s="2" t="n">
        <v>17680000</v>
      </c>
      <c r="AB135" s="2" t="n">
        <v>8010000</v>
      </c>
      <c r="AC135" s="2" t="n">
        <v>19140000</v>
      </c>
      <c r="AD135" s="2" t="n">
        <v>1670000</v>
      </c>
      <c r="AE135" s="2" t="n">
        <v>61480</v>
      </c>
      <c r="AF135" s="2" t="n">
        <v>562140</v>
      </c>
    </row>
    <row r="136" ht="16" customHeight="1">
      <c r="A136" s="2" t="inlineStr">
        <is>
          <t>12/16/2025</t>
        </is>
      </c>
      <c r="B136" s="2" t="n">
        <v>32540</v>
      </c>
      <c r="C136" s="2" t="n">
        <v>202840</v>
      </c>
      <c r="D136" s="2" t="n">
        <v>15710</v>
      </c>
      <c r="E136" s="2" t="n">
        <v>10700000</v>
      </c>
      <c r="F136" s="2" t="n">
        <v>182130</v>
      </c>
      <c r="G136" s="2" t="n">
        <v>389400</v>
      </c>
      <c r="H136" s="2" t="n">
        <v>191080</v>
      </c>
      <c r="I136" s="2" t="n">
        <v>83830</v>
      </c>
      <c r="J136" s="2" t="n">
        <v>60700000</v>
      </c>
      <c r="K136" s="2" t="n">
        <v>2000000</v>
      </c>
      <c r="L136" s="2" t="n">
        <v>130690</v>
      </c>
      <c r="M136" s="2" t="n">
        <v>224660</v>
      </c>
      <c r="N136" s="2" t="n"/>
      <c r="O136" s="2" t="n">
        <v>2370000</v>
      </c>
      <c r="P136" s="2" t="n">
        <v>1850000</v>
      </c>
      <c r="Q136" s="2" t="n">
        <v>15360</v>
      </c>
      <c r="R136" s="2" t="n">
        <v>497220</v>
      </c>
      <c r="S136" s="2" t="n">
        <v>654400</v>
      </c>
      <c r="T136" s="2" t="n">
        <v>357130</v>
      </c>
      <c r="U136" s="2" t="n">
        <v>4250000</v>
      </c>
      <c r="V136" s="2" t="n">
        <v>6800000</v>
      </c>
      <c r="W136" s="2" t="n">
        <v>718290</v>
      </c>
      <c r="X136" s="2" t="n">
        <v>253120</v>
      </c>
      <c r="Z136" s="2" t="n">
        <v>7130000</v>
      </c>
      <c r="AA136" s="2" t="n">
        <v>20600000</v>
      </c>
      <c r="AB136" s="2" t="n">
        <v>10680000</v>
      </c>
      <c r="AC136" s="2" t="n">
        <v>21180000</v>
      </c>
      <c r="AD136" s="2" t="n">
        <v>1360000</v>
      </c>
      <c r="AE136" s="2" t="n">
        <v>59230</v>
      </c>
      <c r="AF136" s="2" t="n">
        <v>411020</v>
      </c>
    </row>
    <row r="137" ht="16" customHeight="1">
      <c r="A137" s="2" t="inlineStr">
        <is>
          <t>12/15/2025</t>
        </is>
      </c>
      <c r="B137" s="2" t="n">
        <v>338870</v>
      </c>
      <c r="C137" s="2" t="n">
        <v>233090</v>
      </c>
      <c r="D137" s="2" t="n">
        <v>26570</v>
      </c>
      <c r="E137" s="2" t="n">
        <v>14770000</v>
      </c>
      <c r="F137" s="2" t="n">
        <v>208640</v>
      </c>
      <c r="G137" s="2" t="n">
        <v>821410</v>
      </c>
      <c r="H137" s="2" t="n">
        <v>278250</v>
      </c>
      <c r="I137" s="2" t="n">
        <v>248180</v>
      </c>
      <c r="J137" s="2" t="n">
        <v>90680000</v>
      </c>
      <c r="K137" s="2" t="n">
        <v>2480000</v>
      </c>
      <c r="L137" s="2" t="n">
        <v>165650</v>
      </c>
      <c r="M137" s="2" t="n">
        <v>322520</v>
      </c>
      <c r="N137" s="2" t="n"/>
      <c r="O137" s="2" t="n">
        <v>2030000</v>
      </c>
      <c r="P137" s="2" t="n">
        <v>2170000</v>
      </c>
      <c r="Q137" s="2" t="n">
        <v>16020</v>
      </c>
      <c r="R137" s="2" t="n">
        <v>490680</v>
      </c>
      <c r="S137" s="2" t="n">
        <v>770420</v>
      </c>
      <c r="T137" s="2" t="n">
        <v>80350</v>
      </c>
      <c r="U137" s="2" t="n">
        <v>4920000</v>
      </c>
      <c r="V137" s="2" t="n">
        <v>2530000</v>
      </c>
      <c r="W137" s="2" t="n">
        <v>822680</v>
      </c>
      <c r="X137" s="2" t="n">
        <v>407980</v>
      </c>
      <c r="Z137" s="2" t="n">
        <v>5670000</v>
      </c>
      <c r="AA137" s="2" t="n">
        <v>25870000</v>
      </c>
      <c r="AB137" s="2" t="n">
        <v>7670000</v>
      </c>
      <c r="AC137" s="2" t="n">
        <v>25390000</v>
      </c>
      <c r="AD137" s="2" t="n">
        <v>1740000</v>
      </c>
      <c r="AE137" s="2" t="n">
        <v>61650</v>
      </c>
      <c r="AF137" s="2" t="n">
        <v>587260</v>
      </c>
    </row>
    <row r="138" ht="16" customHeight="1">
      <c r="A138" s="2" t="inlineStr">
        <is>
          <t>12/14/2025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>
        <v>37340000</v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Z138" s="2" t="n"/>
      <c r="AA138" s="2" t="n"/>
      <c r="AB138" s="2" t="n"/>
      <c r="AC138" s="2" t="n"/>
      <c r="AD138" s="2" t="n"/>
      <c r="AE138" s="2" t="n">
        <v>32260</v>
      </c>
      <c r="AF138" s="2" t="n">
        <v>310560</v>
      </c>
    </row>
    <row r="139" ht="16" customHeight="1">
      <c r="A139" s="2" t="inlineStr">
        <is>
          <t>12/13/2025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>
        <v>23670000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Z139" s="2" t="n"/>
      <c r="AA139" s="2" t="n"/>
      <c r="AB139" s="2" t="n"/>
      <c r="AC139" s="2" t="n"/>
      <c r="AD139" s="2" t="n"/>
      <c r="AE139" s="2" t="n">
        <v>23470</v>
      </c>
      <c r="AF139" s="2" t="n">
        <v>153100</v>
      </c>
    </row>
    <row r="140" ht="16" customHeight="1">
      <c r="A140" s="2" t="inlineStr">
        <is>
          <t>12/12/2025</t>
        </is>
      </c>
      <c r="B140" s="2" t="n">
        <v>334050</v>
      </c>
      <c r="C140" s="2" t="n">
        <v>206540</v>
      </c>
      <c r="D140" s="2" t="n">
        <v>17190</v>
      </c>
      <c r="E140" s="2" t="n">
        <v>13320000</v>
      </c>
      <c r="F140" s="2" t="n">
        <v>161550</v>
      </c>
      <c r="G140" s="2" t="n">
        <v>828850</v>
      </c>
      <c r="H140" s="2" t="n">
        <v>377480</v>
      </c>
      <c r="I140" s="2" t="n">
        <v>100520</v>
      </c>
      <c r="J140" s="2" t="n">
        <v>74540000</v>
      </c>
      <c r="K140" s="2" t="n">
        <v>2000000</v>
      </c>
      <c r="L140" s="2" t="n">
        <v>93230</v>
      </c>
      <c r="M140" s="2" t="n">
        <v>186570</v>
      </c>
      <c r="N140" s="2" t="n"/>
      <c r="O140" s="2" t="n">
        <v>2270000</v>
      </c>
      <c r="P140" s="2" t="n">
        <v>2380000</v>
      </c>
      <c r="Q140" s="2" t="n">
        <v>19830</v>
      </c>
      <c r="R140" s="2" t="n">
        <v>504760</v>
      </c>
      <c r="S140" s="2" t="n">
        <v>831650</v>
      </c>
      <c r="T140" s="2" t="n">
        <v>219580</v>
      </c>
      <c r="U140" s="2" t="n">
        <v>3790000</v>
      </c>
      <c r="V140" s="2" t="n">
        <v>1780000</v>
      </c>
      <c r="W140" s="2" t="n">
        <v>626290</v>
      </c>
      <c r="X140" s="2" t="n">
        <v>85580</v>
      </c>
      <c r="Z140" s="2" t="n">
        <v>7610000</v>
      </c>
      <c r="AA140" s="2" t="n">
        <v>20250000</v>
      </c>
      <c r="AB140" s="2" t="n">
        <v>28970000</v>
      </c>
      <c r="AC140" s="2" t="n">
        <v>14530000</v>
      </c>
      <c r="AD140" s="2" t="n">
        <v>1920000</v>
      </c>
      <c r="AE140" s="2" t="n">
        <v>49840</v>
      </c>
      <c r="AF140" s="2" t="n">
        <v>497190</v>
      </c>
    </row>
    <row r="141" ht="16" customHeight="1">
      <c r="A141" s="2" t="inlineStr">
        <is>
          <t>12/11/2025</t>
        </is>
      </c>
      <c r="B141" s="2" t="n">
        <v>367720</v>
      </c>
      <c r="C141" s="2" t="n">
        <v>187320</v>
      </c>
      <c r="D141" s="2" t="n">
        <v>24100</v>
      </c>
      <c r="E141" s="2" t="n">
        <v>22340000</v>
      </c>
      <c r="F141" s="2" t="n">
        <v>198770</v>
      </c>
      <c r="G141" s="2" t="n">
        <v>608010</v>
      </c>
      <c r="H141" s="2" t="n">
        <v>280120</v>
      </c>
      <c r="I141" s="2" t="n">
        <v>132710</v>
      </c>
      <c r="J141" s="2" t="n">
        <v>91870000</v>
      </c>
      <c r="K141" s="2" t="n">
        <v>1740000</v>
      </c>
      <c r="L141" s="2" t="n">
        <v>102220</v>
      </c>
      <c r="M141" s="2" t="n">
        <v>288140</v>
      </c>
      <c r="N141" s="2" t="n"/>
      <c r="O141" s="2" t="n">
        <v>1620000</v>
      </c>
      <c r="P141" s="2" t="n">
        <v>1830000</v>
      </c>
      <c r="Q141" s="2" t="n">
        <v>12870</v>
      </c>
      <c r="R141" s="2" t="n">
        <v>932540</v>
      </c>
      <c r="S141" s="2" t="n">
        <v>1030000</v>
      </c>
      <c r="T141" s="2" t="n">
        <v>36090</v>
      </c>
      <c r="U141" s="2" t="n">
        <v>3810000</v>
      </c>
      <c r="V141" s="2" t="n">
        <v>3390000</v>
      </c>
      <c r="W141" s="2" t="n">
        <v>601510</v>
      </c>
      <c r="X141" s="2" t="n">
        <v>212390</v>
      </c>
      <c r="Z141" s="2" t="n">
        <v>5370000</v>
      </c>
      <c r="AA141" s="2" t="n">
        <v>18960000</v>
      </c>
      <c r="AB141" s="2" t="n">
        <v>7540000</v>
      </c>
      <c r="AC141" s="2" t="n">
        <v>19540000</v>
      </c>
      <c r="AD141" s="2" t="n">
        <v>1600000</v>
      </c>
      <c r="AE141" s="2" t="n">
        <v>65640</v>
      </c>
      <c r="AF141" s="2" t="n">
        <v>571670</v>
      </c>
    </row>
    <row r="142" ht="16" customHeight="1">
      <c r="A142" s="2" t="inlineStr">
        <is>
          <t>12/10/2025</t>
        </is>
      </c>
      <c r="B142" s="2" t="n">
        <v>343680</v>
      </c>
      <c r="C142" s="2" t="n">
        <v>190880</v>
      </c>
      <c r="D142" s="2" t="n">
        <v>16170</v>
      </c>
      <c r="E142" s="2" t="n">
        <v>12230000</v>
      </c>
      <c r="F142" s="2" t="n">
        <v>173710</v>
      </c>
      <c r="G142" s="2" t="n">
        <v>685690</v>
      </c>
      <c r="H142" s="2" t="n">
        <v>242170</v>
      </c>
      <c r="I142" s="2" t="n">
        <v>195010</v>
      </c>
      <c r="J142" s="2" t="n">
        <v>75000000</v>
      </c>
      <c r="K142" s="2" t="n">
        <v>1940000</v>
      </c>
      <c r="L142" s="2" t="n">
        <v>140740</v>
      </c>
      <c r="M142" s="2" t="n">
        <v>203030</v>
      </c>
      <c r="N142" s="2" t="n"/>
      <c r="O142" s="2" t="n">
        <v>2810000</v>
      </c>
      <c r="P142" s="2" t="n">
        <v>1940000</v>
      </c>
      <c r="Q142" s="2" t="n">
        <v>11540</v>
      </c>
      <c r="R142" s="2" t="n">
        <v>674440</v>
      </c>
      <c r="S142" s="2" t="n">
        <v>929070</v>
      </c>
      <c r="T142" s="2" t="n">
        <v>21090</v>
      </c>
      <c r="U142" s="2" t="n">
        <v>4850000</v>
      </c>
      <c r="V142" s="2" t="n">
        <v>2260000</v>
      </c>
      <c r="W142" s="2" t="n">
        <v>544150</v>
      </c>
      <c r="X142" s="2" t="n">
        <v>53740</v>
      </c>
      <c r="Z142" s="2" t="n">
        <v>5870000</v>
      </c>
      <c r="AA142" s="2" t="n">
        <v>16500000</v>
      </c>
      <c r="AB142" s="2" t="n">
        <v>8369999.999999999</v>
      </c>
      <c r="AC142" s="2" t="n">
        <v>22460000</v>
      </c>
      <c r="AD142" s="2" t="n">
        <v>1630000</v>
      </c>
      <c r="AE142" s="2" t="n">
        <v>61840</v>
      </c>
      <c r="AF142" s="2" t="n">
        <v>607580</v>
      </c>
    </row>
    <row r="143" ht="16" customHeight="1">
      <c r="A143" s="2" t="inlineStr">
        <is>
          <t>12/09/2025</t>
        </is>
      </c>
      <c r="B143" s="2" t="n">
        <v>341160</v>
      </c>
      <c r="C143" s="2" t="n">
        <v>215940</v>
      </c>
      <c r="D143" s="2" t="n">
        <v>16140</v>
      </c>
      <c r="E143" s="2" t="n">
        <v>11020000</v>
      </c>
      <c r="F143" s="2" t="n">
        <v>151060</v>
      </c>
      <c r="G143" s="2" t="n">
        <v>508200</v>
      </c>
      <c r="H143" s="2" t="n">
        <v>742560</v>
      </c>
      <c r="I143" s="2" t="n">
        <v>157440</v>
      </c>
      <c r="J143" s="2" t="n">
        <v>117260000</v>
      </c>
      <c r="K143" s="2" t="n">
        <v>2000000</v>
      </c>
      <c r="L143" s="2" t="n">
        <v>110640</v>
      </c>
      <c r="M143" s="2" t="n">
        <v>208460</v>
      </c>
      <c r="N143" s="2" t="n"/>
      <c r="O143" s="2" t="n">
        <v>2060000</v>
      </c>
      <c r="P143" s="2" t="n">
        <v>1260000</v>
      </c>
      <c r="Q143" s="2" t="n">
        <v>13580</v>
      </c>
      <c r="R143" s="2" t="n">
        <v>1850000</v>
      </c>
      <c r="S143" s="2" t="n">
        <v>1360000</v>
      </c>
      <c r="T143" s="2" t="n">
        <v>26450</v>
      </c>
      <c r="U143" s="2" t="n">
        <v>7420000</v>
      </c>
      <c r="V143" s="2" t="n">
        <v>2090000</v>
      </c>
      <c r="W143" s="2" t="n">
        <v>663130</v>
      </c>
      <c r="X143" s="2" t="n">
        <v>34160</v>
      </c>
      <c r="Z143" s="2" t="n">
        <v>3800000</v>
      </c>
      <c r="AA143" s="2" t="n">
        <v>19480000</v>
      </c>
      <c r="AB143" s="2" t="n">
        <v>6340000</v>
      </c>
      <c r="AC143" s="2" t="n">
        <v>24270000</v>
      </c>
      <c r="AD143" s="2" t="n">
        <v>1450000</v>
      </c>
      <c r="AE143" s="2" t="n">
        <v>68380</v>
      </c>
      <c r="AF143" s="2" t="n">
        <v>680940</v>
      </c>
    </row>
    <row r="144" ht="16" customHeight="1">
      <c r="A144" s="2" t="inlineStr">
        <is>
          <t>12/08/2025</t>
        </is>
      </c>
      <c r="B144" s="2" t="n">
        <v>333600</v>
      </c>
      <c r="C144" s="2" t="n">
        <v>211280</v>
      </c>
      <c r="D144" s="2" t="n">
        <v>19460</v>
      </c>
      <c r="E144" s="2" t="n">
        <v>16660000</v>
      </c>
      <c r="F144" s="2" t="n">
        <v>146440</v>
      </c>
      <c r="G144" s="2" t="n">
        <v>549950</v>
      </c>
      <c r="H144" s="2" t="n">
        <v>347030</v>
      </c>
      <c r="I144" s="2" t="n">
        <v>152090</v>
      </c>
      <c r="J144" s="2" t="n">
        <v>54740000</v>
      </c>
      <c r="K144" s="2" t="n">
        <v>1550000</v>
      </c>
      <c r="L144" s="2" t="n">
        <v>156370</v>
      </c>
      <c r="M144" s="2" t="n">
        <v>341760</v>
      </c>
      <c r="N144" s="2" t="n"/>
      <c r="O144" s="2" t="n">
        <v>1820000</v>
      </c>
      <c r="P144" s="2" t="n">
        <v>2280000</v>
      </c>
      <c r="Q144" s="2" t="n">
        <v>17680</v>
      </c>
      <c r="R144" s="2" t="n">
        <v>737590</v>
      </c>
      <c r="S144" s="2" t="n">
        <v>683190</v>
      </c>
      <c r="T144" s="2" t="n">
        <v>47600</v>
      </c>
      <c r="U144" s="2" t="n">
        <v>5070000</v>
      </c>
      <c r="V144" s="2" t="n">
        <v>3250000</v>
      </c>
      <c r="W144" s="2" t="n">
        <v>637320</v>
      </c>
      <c r="X144" s="2" t="n">
        <v>84140</v>
      </c>
      <c r="Z144" s="2" t="n">
        <v>3490000</v>
      </c>
      <c r="AA144" s="2" t="n">
        <v>20370000</v>
      </c>
      <c r="AB144" s="2" t="n">
        <v>6830000</v>
      </c>
      <c r="AC144" s="2" t="n">
        <v>16330000</v>
      </c>
      <c r="AD144" s="2" t="n">
        <v>1830000</v>
      </c>
      <c r="AE144" s="2" t="n">
        <v>51820</v>
      </c>
      <c r="AF144" s="2" t="n">
        <v>527560</v>
      </c>
    </row>
    <row r="145" ht="16" customHeight="1">
      <c r="A145" s="2" t="inlineStr">
        <is>
          <t>12/07/2025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>
        <v>40280000</v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Z145" s="2" t="n"/>
      <c r="AA145" s="2" t="n"/>
      <c r="AB145" s="2" t="n"/>
      <c r="AC145" s="2" t="n"/>
      <c r="AD145" s="2" t="n"/>
      <c r="AE145" s="2" t="n">
        <v>38670</v>
      </c>
      <c r="AF145" s="2" t="n">
        <v>451460</v>
      </c>
    </row>
    <row r="146" ht="16" customHeight="1">
      <c r="A146" s="2" t="inlineStr">
        <is>
          <t>12/06/2025</t>
        </is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>
        <v>37020000</v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Z146" s="2" t="n"/>
      <c r="AA146" s="2" t="n"/>
      <c r="AB146" s="2" t="n"/>
      <c r="AC146" s="2" t="n"/>
      <c r="AD146" s="2" t="n"/>
      <c r="AE146" s="2" t="n">
        <v>30140</v>
      </c>
      <c r="AF146" s="2" t="n">
        <v>177160</v>
      </c>
    </row>
    <row r="147" ht="16" customHeight="1">
      <c r="A147" s="2" t="inlineStr">
        <is>
          <t>12/05/2025</t>
        </is>
      </c>
      <c r="B147" s="2" t="n">
        <v>355240</v>
      </c>
      <c r="C147" s="2" t="n">
        <v>180430</v>
      </c>
      <c r="D147" s="2" t="n">
        <v>11040</v>
      </c>
      <c r="E147" s="2" t="n">
        <v>17920000</v>
      </c>
      <c r="F147" s="2" t="n">
        <v>182670</v>
      </c>
      <c r="G147" s="2" t="n">
        <v>561450</v>
      </c>
      <c r="H147" s="2" t="n">
        <v>179310</v>
      </c>
      <c r="I147" s="2" t="n">
        <v>119190</v>
      </c>
      <c r="J147" s="2" t="n">
        <v>82910000</v>
      </c>
      <c r="K147" s="2" t="n">
        <v>1610000</v>
      </c>
      <c r="L147" s="2" t="n">
        <v>171020</v>
      </c>
      <c r="M147" s="2" t="n">
        <v>200730</v>
      </c>
      <c r="N147" s="2" t="n"/>
      <c r="O147" s="2" t="n">
        <v>1660000</v>
      </c>
      <c r="P147" s="2" t="n">
        <v>1450000</v>
      </c>
      <c r="Q147" s="2" t="n">
        <v>10320</v>
      </c>
      <c r="R147" s="2" t="n">
        <v>1310000</v>
      </c>
      <c r="S147" s="2" t="n">
        <v>695130</v>
      </c>
      <c r="T147" s="2" t="n">
        <v>138990</v>
      </c>
      <c r="U147" s="2" t="n">
        <v>4280000</v>
      </c>
      <c r="V147" s="2" t="n">
        <v>2200000</v>
      </c>
      <c r="W147" s="2" t="n">
        <v>581660</v>
      </c>
      <c r="X147" s="2" t="n">
        <v>110560</v>
      </c>
      <c r="Z147" s="2" t="n">
        <v>3550000</v>
      </c>
      <c r="AA147" s="2" t="n">
        <v>14270000</v>
      </c>
      <c r="AB147" s="2" t="n">
        <v>7400000</v>
      </c>
      <c r="AC147" s="2" t="n">
        <v>20750000</v>
      </c>
      <c r="AD147" s="2" t="n">
        <v>1230000</v>
      </c>
      <c r="AE147" s="2" t="n">
        <v>61140</v>
      </c>
      <c r="AF147" s="2" t="n">
        <v>589070</v>
      </c>
    </row>
    <row r="148" ht="16" customHeight="1">
      <c r="A148" s="2" t="inlineStr">
        <is>
          <t>12/04/2025</t>
        </is>
      </c>
      <c r="B148" s="2" t="n">
        <v>364400</v>
      </c>
      <c r="C148" s="2" t="n">
        <v>189310</v>
      </c>
      <c r="D148" s="2" t="n">
        <v>26350</v>
      </c>
      <c r="E148" s="2" t="n">
        <v>13690000</v>
      </c>
      <c r="F148" s="2" t="n">
        <v>76120</v>
      </c>
      <c r="G148" s="2" t="n">
        <v>518780</v>
      </c>
      <c r="H148" s="2" t="n">
        <v>173450</v>
      </c>
      <c r="I148" s="2" t="n">
        <v>248230</v>
      </c>
      <c r="J148" s="2" t="n">
        <v>67610000</v>
      </c>
      <c r="K148" s="2" t="n">
        <v>1550000</v>
      </c>
      <c r="L148" s="2" t="n">
        <v>89000</v>
      </c>
      <c r="M148" s="2" t="n">
        <v>222910</v>
      </c>
      <c r="N148" s="2" t="n"/>
      <c r="O148" s="2" t="n">
        <v>1480000</v>
      </c>
      <c r="P148" s="2" t="n">
        <v>1270000</v>
      </c>
      <c r="Q148" s="2" t="n">
        <v>12920</v>
      </c>
      <c r="R148" s="2" t="n">
        <v>946080</v>
      </c>
      <c r="S148" s="2" t="n">
        <v>761140</v>
      </c>
      <c r="T148" s="2" t="n">
        <v>46710</v>
      </c>
      <c r="U148" s="2" t="n">
        <v>4160000</v>
      </c>
      <c r="V148" s="2" t="n">
        <v>2390000</v>
      </c>
      <c r="W148" s="2" t="n">
        <v>534980</v>
      </c>
      <c r="X148" s="2" t="n">
        <v>120490</v>
      </c>
      <c r="Z148" s="2" t="n">
        <v>3030000</v>
      </c>
      <c r="AA148" s="2" t="n">
        <v>15930000</v>
      </c>
      <c r="AB148" s="2" t="n">
        <v>17350000</v>
      </c>
      <c r="AC148" s="2" t="n">
        <v>16470000</v>
      </c>
      <c r="AD148" s="2" t="n">
        <v>1070000</v>
      </c>
      <c r="AE148" s="2" t="n">
        <v>60280</v>
      </c>
      <c r="AF148" s="2" t="n">
        <v>548280</v>
      </c>
    </row>
    <row r="149" ht="16" customHeight="1">
      <c r="A149" s="2" t="inlineStr">
        <is>
          <t>12/03/2025</t>
        </is>
      </c>
      <c r="B149" s="2" t="n">
        <v>323390</v>
      </c>
      <c r="C149" s="2" t="n">
        <v>156110</v>
      </c>
      <c r="D149" s="2" t="n">
        <v>11360</v>
      </c>
      <c r="E149" s="2" t="n">
        <v>15530000</v>
      </c>
      <c r="F149" s="2" t="n">
        <v>128650</v>
      </c>
      <c r="G149" s="2" t="n">
        <v>597050</v>
      </c>
      <c r="H149" s="2" t="n">
        <v>286150</v>
      </c>
      <c r="I149" s="2" t="n">
        <v>152190</v>
      </c>
      <c r="J149" s="2" t="n">
        <v>73240000</v>
      </c>
      <c r="K149" s="2" t="n">
        <v>1820000</v>
      </c>
      <c r="L149" s="2" t="n">
        <v>118580</v>
      </c>
      <c r="M149" s="2" t="n">
        <v>242980</v>
      </c>
      <c r="N149" s="2" t="n"/>
      <c r="O149" s="2" t="n">
        <v>1520000</v>
      </c>
      <c r="P149" s="2" t="n">
        <v>1690000</v>
      </c>
      <c r="Q149" s="2" t="n">
        <v>18310</v>
      </c>
      <c r="R149" s="2" t="n">
        <v>702410</v>
      </c>
      <c r="S149" s="2" t="n">
        <v>848160</v>
      </c>
      <c r="T149" s="2" t="n">
        <v>153590</v>
      </c>
      <c r="U149" s="2" t="n">
        <v>3010000</v>
      </c>
      <c r="V149" s="2" t="n">
        <v>1710000</v>
      </c>
      <c r="W149" s="2" t="n">
        <v>566340</v>
      </c>
      <c r="X149" s="2" t="n">
        <v>197830</v>
      </c>
      <c r="Z149" s="2" t="n">
        <v>5200000</v>
      </c>
      <c r="AA149" s="2" t="n">
        <v>16300000</v>
      </c>
      <c r="AB149" s="2" t="n">
        <v>11100000</v>
      </c>
      <c r="AC149" s="2" t="n">
        <v>26690000</v>
      </c>
      <c r="AD149" s="2" t="n">
        <v>1420000</v>
      </c>
      <c r="AE149" s="2" t="n">
        <v>79020</v>
      </c>
      <c r="AF149" s="2" t="n">
        <v>612010</v>
      </c>
    </row>
    <row r="150" ht="16" customHeight="1">
      <c r="A150" s="2" t="inlineStr">
        <is>
          <t>12/02/2025</t>
        </is>
      </c>
      <c r="B150" s="2" t="n">
        <v>349710</v>
      </c>
      <c r="C150" s="2" t="n">
        <v>449780</v>
      </c>
      <c r="D150" s="2" t="n">
        <v>26300</v>
      </c>
      <c r="E150" s="2" t="n">
        <v>14360000</v>
      </c>
      <c r="F150" s="2" t="n">
        <v>217940</v>
      </c>
      <c r="G150" s="2" t="n">
        <v>780920</v>
      </c>
      <c r="H150" s="2" t="n">
        <v>650350</v>
      </c>
      <c r="I150" s="2" t="n">
        <v>135060</v>
      </c>
      <c r="J150" s="2" t="n">
        <v>111580000</v>
      </c>
      <c r="K150" s="2" t="n">
        <v>2190000</v>
      </c>
      <c r="L150" s="2" t="n">
        <v>155510</v>
      </c>
      <c r="M150" s="2" t="n">
        <v>308710</v>
      </c>
      <c r="N150" s="2" t="n"/>
      <c r="O150" s="2" t="n">
        <v>1820000</v>
      </c>
      <c r="P150" s="2" t="n">
        <v>1670000</v>
      </c>
      <c r="Q150" s="2" t="n">
        <v>26770</v>
      </c>
      <c r="R150" s="2" t="n">
        <v>837920</v>
      </c>
      <c r="S150" s="2" t="n">
        <v>800920</v>
      </c>
      <c r="T150" s="2" t="n">
        <v>141550</v>
      </c>
      <c r="U150" s="2" t="n">
        <v>3500000</v>
      </c>
      <c r="V150" s="2" t="n">
        <v>2260000</v>
      </c>
      <c r="W150" s="2" t="n">
        <v>681460</v>
      </c>
      <c r="X150" s="2" t="n">
        <v>39680</v>
      </c>
      <c r="Z150" s="2" t="n">
        <v>3560000</v>
      </c>
      <c r="AA150" s="2" t="n">
        <v>17600000</v>
      </c>
      <c r="AB150" s="2" t="n">
        <v>13860000</v>
      </c>
      <c r="AC150" s="2" t="n">
        <v>31290000</v>
      </c>
      <c r="AD150" s="2" t="n">
        <v>1410000</v>
      </c>
      <c r="AE150" s="2" t="n">
        <v>87360</v>
      </c>
      <c r="AF150" s="2" t="n">
        <v>570930</v>
      </c>
    </row>
    <row r="151" ht="16" customHeight="1">
      <c r="A151" s="2" t="inlineStr">
        <is>
          <t>12/01/2025</t>
        </is>
      </c>
      <c r="B151" s="2" t="n">
        <v>337050</v>
      </c>
      <c r="C151" s="2" t="n">
        <v>122000</v>
      </c>
      <c r="D151" s="2" t="n">
        <v>21800</v>
      </c>
      <c r="E151" s="2" t="n">
        <v>29030000</v>
      </c>
      <c r="F151" s="2" t="n">
        <v>297110</v>
      </c>
      <c r="G151" s="2" t="n">
        <v>988480</v>
      </c>
      <c r="H151" s="2" t="n">
        <v>580830</v>
      </c>
      <c r="I151" s="2" t="n">
        <v>337070</v>
      </c>
      <c r="J151" s="2" t="n">
        <v>98470000</v>
      </c>
      <c r="K151" s="2" t="n">
        <v>2520000</v>
      </c>
      <c r="L151" s="2" t="n">
        <v>180920</v>
      </c>
      <c r="M151" s="2" t="n">
        <v>325250</v>
      </c>
      <c r="N151" s="2" t="n"/>
      <c r="O151" s="2" t="n">
        <v>3200000</v>
      </c>
      <c r="P151" s="2" t="n">
        <v>2400000</v>
      </c>
      <c r="Q151" s="2" t="n">
        <v>19960</v>
      </c>
      <c r="R151" s="2" t="n">
        <v>2090000</v>
      </c>
      <c r="S151" s="2" t="n">
        <v>857970</v>
      </c>
      <c r="T151" s="2" t="n">
        <v>153890</v>
      </c>
      <c r="U151" s="2" t="n">
        <v>3130000</v>
      </c>
      <c r="V151" s="2" t="n">
        <v>2580000</v>
      </c>
      <c r="W151" s="2" t="n">
        <v>654190</v>
      </c>
      <c r="X151" s="2" t="n">
        <v>93360</v>
      </c>
      <c r="Z151" s="2" t="n">
        <v>3880000</v>
      </c>
      <c r="AA151" s="2" t="n">
        <v>20220000</v>
      </c>
      <c r="AB151" s="2" t="n">
        <v>14590000</v>
      </c>
      <c r="AC151" s="2" t="n">
        <v>42940000</v>
      </c>
      <c r="AD151" s="2" t="n">
        <v>2050000</v>
      </c>
      <c r="AE151" s="2" t="n">
        <v>105960</v>
      </c>
      <c r="AF151" s="2" t="n">
        <v>912610</v>
      </c>
    </row>
    <row r="152" ht="16" customHeight="1">
      <c r="A152" s="2" t="inlineStr">
        <is>
          <t>11/30/2025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>
        <v>49410000</v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Z152" s="2" t="n"/>
      <c r="AA152" s="2" t="n"/>
      <c r="AB152" s="2" t="n"/>
      <c r="AC152" s="2" t="n"/>
      <c r="AD152" s="2" t="n"/>
      <c r="AE152" s="2" t="n">
        <v>31090</v>
      </c>
      <c r="AF152" s="2" t="n">
        <v>200640</v>
      </c>
    </row>
    <row r="153" ht="16" customHeight="1">
      <c r="A153" s="2" t="inlineStr">
        <is>
          <t>11/29/2025</t>
        </is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>
        <v>49960000</v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Z153" s="2" t="n"/>
      <c r="AA153" s="2" t="n"/>
      <c r="AB153" s="2" t="n"/>
      <c r="AC153" s="2" t="n"/>
      <c r="AD153" s="2" t="n"/>
      <c r="AE153" s="2" t="n">
        <v>28050</v>
      </c>
      <c r="AF153" s="2" t="n">
        <v>248700</v>
      </c>
    </row>
    <row r="154" ht="16" customHeight="1">
      <c r="A154" s="2" t="inlineStr">
        <is>
          <t>11/28/2025</t>
        </is>
      </c>
      <c r="B154" s="2" t="n">
        <v>343840</v>
      </c>
      <c r="C154" s="2" t="n">
        <v>204600</v>
      </c>
      <c r="D154" s="2" t="n">
        <v>20820</v>
      </c>
      <c r="E154" s="2" t="n">
        <v>24420000</v>
      </c>
      <c r="F154" s="2" t="n">
        <v>321110</v>
      </c>
      <c r="G154" s="2" t="n">
        <v>523460.0000000001</v>
      </c>
      <c r="H154" s="2" t="n">
        <v>354880</v>
      </c>
      <c r="I154" s="2" t="n">
        <v>331260</v>
      </c>
      <c r="J154" s="2" t="n">
        <v>76920000</v>
      </c>
      <c r="K154" s="2" t="n">
        <v>2470000</v>
      </c>
      <c r="L154" s="2" t="n">
        <v>83980</v>
      </c>
      <c r="M154" s="2" t="n">
        <v>195290</v>
      </c>
      <c r="N154" s="2" t="n"/>
      <c r="O154" s="2" t="n">
        <v>2020000</v>
      </c>
      <c r="P154" s="2" t="n">
        <v>2540000</v>
      </c>
      <c r="Q154" s="2" t="n">
        <v>11290</v>
      </c>
      <c r="R154" s="2" t="n">
        <v>1150000</v>
      </c>
      <c r="S154" s="2" t="n">
        <v>878790</v>
      </c>
      <c r="T154" s="2" t="n">
        <v>81280</v>
      </c>
      <c r="U154" s="2" t="n">
        <v>2140000</v>
      </c>
      <c r="V154" s="2" t="n">
        <v>1450000</v>
      </c>
      <c r="W154" s="2" t="n">
        <v>441560</v>
      </c>
      <c r="X154" s="2" t="n">
        <v>93800</v>
      </c>
      <c r="Z154" s="2" t="n">
        <v>1620000</v>
      </c>
      <c r="AA154" s="2" t="n">
        <v>8410000</v>
      </c>
      <c r="AB154" s="2" t="n">
        <v>2750000</v>
      </c>
      <c r="AC154" s="2" t="n">
        <v>15110000</v>
      </c>
      <c r="AD154" s="2" t="n">
        <v>836000</v>
      </c>
      <c r="AE154" s="2" t="n">
        <v>60080</v>
      </c>
      <c r="AF154" s="2" t="n">
        <v>399060</v>
      </c>
    </row>
    <row r="155" ht="16" customHeight="1">
      <c r="A155" s="2" t="inlineStr">
        <is>
          <t>11/27/2025</t>
        </is>
      </c>
      <c r="B155" s="2" t="n">
        <v>56890</v>
      </c>
      <c r="C155" s="2" t="n">
        <v>205120</v>
      </c>
      <c r="D155" s="2" t="n">
        <v>28470</v>
      </c>
      <c r="E155" s="2" t="n"/>
      <c r="F155" s="2" t="n"/>
      <c r="G155" s="2" t="n"/>
      <c r="H155" s="2" t="n"/>
      <c r="I155" s="2" t="n"/>
      <c r="J155" s="2" t="n">
        <v>57070000</v>
      </c>
      <c r="K155" s="2" t="n">
        <v>3190000</v>
      </c>
      <c r="L155" s="2" t="n">
        <v>172860</v>
      </c>
      <c r="M155" s="2" t="n">
        <v>191670</v>
      </c>
      <c r="N155" s="2" t="n"/>
      <c r="O155" s="2" t="n"/>
      <c r="P155" s="2" t="n"/>
      <c r="Q155" s="2" t="n">
        <v>41490</v>
      </c>
      <c r="R155" s="2" t="n">
        <v>139560</v>
      </c>
      <c r="S155" s="2" t="n">
        <v>793060</v>
      </c>
      <c r="T155" s="2" t="n">
        <v>59160</v>
      </c>
      <c r="U155" s="2" t="n">
        <v>2310000</v>
      </c>
      <c r="V155" s="2" t="n">
        <v>1940000</v>
      </c>
      <c r="W155" s="2" t="n">
        <v>474280</v>
      </c>
      <c r="X155" s="2" t="n">
        <v>71430</v>
      </c>
      <c r="Z155" s="2" t="n"/>
      <c r="AA155" s="2" t="n"/>
      <c r="AB155" s="2" t="n"/>
      <c r="AC155" s="2" t="n"/>
      <c r="AD155" s="2" t="n"/>
      <c r="AE155" s="2" t="n">
        <v>58080</v>
      </c>
      <c r="AF155" s="2" t="n">
        <v>307230</v>
      </c>
    </row>
    <row r="156" ht="16" customHeight="1">
      <c r="A156" s="2" t="inlineStr">
        <is>
          <t>11/26/2025</t>
        </is>
      </c>
      <c r="B156" s="2" t="n">
        <v>36860</v>
      </c>
      <c r="C156" s="2" t="n">
        <v>212170</v>
      </c>
      <c r="D156" s="2" t="n">
        <v>29470</v>
      </c>
      <c r="E156" s="2" t="n">
        <v>11950000</v>
      </c>
      <c r="F156" s="2" t="n">
        <v>223550</v>
      </c>
      <c r="G156" s="2" t="n">
        <v>545680</v>
      </c>
      <c r="H156" s="2" t="n">
        <v>275600</v>
      </c>
      <c r="I156" s="2" t="n">
        <v>161030</v>
      </c>
      <c r="J156" s="2" t="n">
        <v>152600000</v>
      </c>
      <c r="K156" s="2" t="n">
        <v>1880000</v>
      </c>
      <c r="L156" s="2" t="n">
        <v>219080</v>
      </c>
      <c r="M156" s="2" t="n">
        <v>275580</v>
      </c>
      <c r="N156" s="2" t="n"/>
      <c r="O156" s="2" t="n">
        <v>1630000</v>
      </c>
      <c r="P156" s="2" t="n">
        <v>1190000</v>
      </c>
      <c r="Q156" s="2" t="n">
        <v>14830</v>
      </c>
      <c r="R156" s="2" t="n">
        <v>157260</v>
      </c>
      <c r="S156" s="2" t="n">
        <v>2110000</v>
      </c>
      <c r="T156" s="2" t="n">
        <v>94050</v>
      </c>
      <c r="U156" s="2" t="n">
        <v>3990000</v>
      </c>
      <c r="V156" s="2" t="n">
        <v>3780000</v>
      </c>
      <c r="W156" s="2" t="n">
        <v>592590</v>
      </c>
      <c r="X156" s="2" t="n">
        <v>71410</v>
      </c>
      <c r="Z156" s="2" t="n">
        <v>3580000</v>
      </c>
      <c r="AA156" s="2" t="n">
        <v>14500000</v>
      </c>
      <c r="AB156" s="2" t="n">
        <v>7150000</v>
      </c>
      <c r="AC156" s="2" t="n">
        <v>20020000</v>
      </c>
      <c r="AD156" s="2" t="n">
        <v>1290000</v>
      </c>
      <c r="AE156" s="2" t="n">
        <v>70680</v>
      </c>
      <c r="AF156" s="2" t="n">
        <v>410180</v>
      </c>
    </row>
    <row r="157" ht="16" customHeight="1">
      <c r="A157" s="2" t="inlineStr">
        <is>
          <t>11/25/2025</t>
        </is>
      </c>
      <c r="B157" s="2" t="n">
        <v>29980</v>
      </c>
      <c r="C157" s="2" t="n">
        <v>241860</v>
      </c>
      <c r="D157" s="2" t="n">
        <v>26180</v>
      </c>
      <c r="E157" s="2" t="n">
        <v>19120000</v>
      </c>
      <c r="F157" s="2" t="n">
        <v>197030</v>
      </c>
      <c r="G157" s="2" t="n">
        <v>558400</v>
      </c>
      <c r="H157" s="2" t="n">
        <v>125960</v>
      </c>
      <c r="I157" s="2" t="n">
        <v>244360</v>
      </c>
      <c r="J157" s="2" t="n">
        <v>150150000</v>
      </c>
      <c r="K157" s="2" t="n">
        <v>2320000</v>
      </c>
      <c r="L157" s="2" t="n">
        <v>213830</v>
      </c>
      <c r="M157" s="2" t="n">
        <v>507250</v>
      </c>
      <c r="N157" s="2" t="n"/>
      <c r="O157" s="2" t="n">
        <v>2250000</v>
      </c>
      <c r="P157" s="2" t="n">
        <v>1850000</v>
      </c>
      <c r="Q157" s="2" t="n">
        <v>15410</v>
      </c>
      <c r="R157" s="2" t="n">
        <v>240950</v>
      </c>
      <c r="S157" s="2" t="n">
        <v>834650</v>
      </c>
      <c r="T157" s="2" t="n">
        <v>74060</v>
      </c>
      <c r="U157" s="2" t="n">
        <v>3230000</v>
      </c>
      <c r="V157" s="2" t="n">
        <v>3430000</v>
      </c>
      <c r="W157" s="2" t="n">
        <v>615240</v>
      </c>
      <c r="X157" s="2" t="n">
        <v>111310</v>
      </c>
      <c r="Z157" s="2" t="n">
        <v>5070000</v>
      </c>
      <c r="AA157" s="2" t="n">
        <v>17860000</v>
      </c>
      <c r="AB157" s="2" t="n">
        <v>9050000</v>
      </c>
      <c r="AC157" s="2" t="n">
        <v>19110000</v>
      </c>
      <c r="AD157" s="2" t="n">
        <v>1170000</v>
      </c>
      <c r="AE157" s="2" t="n">
        <v>70670</v>
      </c>
      <c r="AF157" s="2" t="n">
        <v>476220</v>
      </c>
    </row>
    <row r="158" ht="16" customHeight="1">
      <c r="A158" s="2" t="inlineStr">
        <is>
          <t>11/24/2025</t>
        </is>
      </c>
      <c r="B158" s="2" t="n">
        <v>333730</v>
      </c>
      <c r="C158" s="2" t="n">
        <v>193290</v>
      </c>
      <c r="D158" s="2" t="n">
        <v>30340</v>
      </c>
      <c r="E158" s="2" t="n">
        <v>15830000</v>
      </c>
      <c r="F158" s="2" t="n">
        <v>315020</v>
      </c>
      <c r="G158" s="2" t="n">
        <v>1100000</v>
      </c>
      <c r="H158" s="2" t="n">
        <v>291640</v>
      </c>
      <c r="I158" s="2" t="n">
        <v>509880</v>
      </c>
      <c r="J158" s="2" t="n">
        <v>180560000</v>
      </c>
      <c r="K158" s="2" t="n">
        <v>1600000</v>
      </c>
      <c r="L158" s="2" t="n">
        <v>174730</v>
      </c>
      <c r="M158" s="2" t="n">
        <v>279370</v>
      </c>
      <c r="N158" s="2" t="n"/>
      <c r="O158" s="2" t="n">
        <v>1790000</v>
      </c>
      <c r="P158" s="2" t="n">
        <v>1320000</v>
      </c>
      <c r="Q158" s="2" t="n">
        <v>129600</v>
      </c>
      <c r="R158" s="2" t="n">
        <v>376830</v>
      </c>
      <c r="S158" s="2" t="n">
        <v>674260</v>
      </c>
      <c r="T158" s="2" t="n">
        <v>72910</v>
      </c>
      <c r="U158" s="2" t="n">
        <v>2130000</v>
      </c>
      <c r="V158" s="2" t="n">
        <v>1800000</v>
      </c>
      <c r="W158" s="2" t="n">
        <v>529610</v>
      </c>
      <c r="X158" s="2" t="n">
        <v>126600</v>
      </c>
      <c r="Z158" s="2" t="n">
        <v>4610000</v>
      </c>
      <c r="AA158" s="2" t="n">
        <v>22400000</v>
      </c>
      <c r="AB158" s="2" t="n">
        <v>25930000</v>
      </c>
      <c r="AC158" s="2" t="n">
        <v>23280000</v>
      </c>
      <c r="AD158" s="2" t="n">
        <v>1430000</v>
      </c>
      <c r="AE158" s="2" t="n">
        <v>81640</v>
      </c>
      <c r="AF158" s="2" t="n">
        <v>777930</v>
      </c>
    </row>
    <row r="159" ht="16" customHeight="1">
      <c r="A159" s="2" t="inlineStr">
        <is>
          <t>11/23/2025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>
        <v>145860000</v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Z159" s="2" t="n"/>
      <c r="AA159" s="2" t="n"/>
      <c r="AB159" s="2" t="n"/>
      <c r="AC159" s="2" t="n"/>
      <c r="AD159" s="2" t="n"/>
      <c r="AE159" s="2" t="n">
        <v>67530</v>
      </c>
      <c r="AF159" s="2" t="n">
        <v>434900</v>
      </c>
    </row>
    <row r="160" ht="16" customHeight="1">
      <c r="A160" s="2" t="inlineStr">
        <is>
          <t>11/22/2025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>
        <v>119830000</v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Z160" s="2" t="n"/>
      <c r="AA160" s="2" t="n"/>
      <c r="AB160" s="2" t="n"/>
      <c r="AC160" s="2" t="n"/>
      <c r="AD160" s="2" t="n"/>
      <c r="AE160" s="2" t="n">
        <v>49350</v>
      </c>
      <c r="AF160" s="2" t="n">
        <v>285190</v>
      </c>
    </row>
    <row r="161" ht="16" customHeight="1">
      <c r="A161" s="2" t="inlineStr">
        <is>
          <t>11/21/2025</t>
        </is>
      </c>
      <c r="B161" s="2" t="n">
        <v>355540</v>
      </c>
      <c r="C161" s="2" t="n">
        <v>213560</v>
      </c>
      <c r="D161" s="2" t="n">
        <v>18280</v>
      </c>
      <c r="E161" s="2" t="n">
        <v>16450000</v>
      </c>
      <c r="F161" s="2" t="n">
        <v>312230</v>
      </c>
      <c r="G161" s="2" t="n">
        <v>2310000</v>
      </c>
      <c r="H161" s="2" t="n">
        <v>414800</v>
      </c>
      <c r="I161" s="2" t="n">
        <v>416780</v>
      </c>
      <c r="J161" s="2" t="n">
        <v>269570000</v>
      </c>
      <c r="K161" s="2" t="n">
        <v>2400000</v>
      </c>
      <c r="L161" s="2" t="n">
        <v>258920</v>
      </c>
      <c r="M161" s="2" t="n">
        <v>288030</v>
      </c>
      <c r="N161" s="2" t="n"/>
      <c r="O161" s="2" t="n">
        <v>2330000</v>
      </c>
      <c r="P161" s="2" t="n">
        <v>1340000</v>
      </c>
      <c r="Q161" s="2" t="n">
        <v>26090</v>
      </c>
      <c r="R161" s="2" t="n">
        <v>571990</v>
      </c>
      <c r="S161" s="2" t="n">
        <v>833170</v>
      </c>
      <c r="T161" s="2" t="n">
        <v>105090</v>
      </c>
      <c r="U161" s="2" t="n">
        <v>3520000</v>
      </c>
      <c r="V161" s="2" t="n">
        <v>3220000</v>
      </c>
      <c r="W161" s="2" t="n">
        <v>509940</v>
      </c>
      <c r="X161" s="2" t="n">
        <v>101240</v>
      </c>
      <c r="Z161" s="2" t="n">
        <v>11260000</v>
      </c>
      <c r="AA161" s="2" t="n">
        <v>21090000</v>
      </c>
      <c r="AB161" s="2" t="n">
        <v>15340000</v>
      </c>
      <c r="AC161" s="2" t="n">
        <v>29650000</v>
      </c>
      <c r="AD161" s="2" t="n">
        <v>1660000</v>
      </c>
      <c r="AE161" s="2" t="n">
        <v>177950</v>
      </c>
      <c r="AF161" s="2" t="n">
        <v>1270000</v>
      </c>
    </row>
    <row r="162" ht="16" customHeight="1">
      <c r="A162" s="2" t="inlineStr">
        <is>
          <t>11/20/2025</t>
        </is>
      </c>
      <c r="B162" s="2" t="n">
        <v>381610</v>
      </c>
      <c r="C162" s="2" t="n">
        <v>201200</v>
      </c>
      <c r="D162" s="2" t="n">
        <v>26000</v>
      </c>
      <c r="E162" s="2" t="n">
        <v>15260000</v>
      </c>
      <c r="F162" s="2" t="n">
        <v>372680</v>
      </c>
      <c r="G162" s="2" t="n">
        <v>1840000</v>
      </c>
      <c r="H162" s="2" t="n">
        <v>412550</v>
      </c>
      <c r="I162" s="2" t="n">
        <v>1050000</v>
      </c>
      <c r="J162" s="2" t="n">
        <v>198250000</v>
      </c>
      <c r="K162" s="2" t="n">
        <v>3280000</v>
      </c>
      <c r="L162" s="2" t="n">
        <v>179120</v>
      </c>
      <c r="M162" s="2" t="n">
        <v>259550</v>
      </c>
      <c r="N162" s="2" t="n"/>
      <c r="O162" s="2" t="n">
        <v>1570000</v>
      </c>
      <c r="P162" s="2" t="n">
        <v>1500000</v>
      </c>
      <c r="Q162" s="2" t="n">
        <v>8860</v>
      </c>
      <c r="R162" s="2" t="n">
        <v>274250</v>
      </c>
      <c r="S162" s="2" t="n">
        <v>1050000</v>
      </c>
      <c r="T162" s="2" t="n">
        <v>103100</v>
      </c>
      <c r="U162" s="2" t="n">
        <v>3770000</v>
      </c>
      <c r="V162" s="2" t="n">
        <v>3130000</v>
      </c>
      <c r="W162" s="2" t="n">
        <v>454050</v>
      </c>
      <c r="X162" s="2" t="n">
        <v>99090</v>
      </c>
      <c r="Z162" s="2" t="n">
        <v>12590000</v>
      </c>
      <c r="AA162" s="2" t="n">
        <v>21660000</v>
      </c>
      <c r="AB162" s="2" t="n">
        <v>13550000</v>
      </c>
      <c r="AC162" s="2" t="n">
        <v>27680000</v>
      </c>
      <c r="AD162" s="2" t="n">
        <v>2390000</v>
      </c>
      <c r="AE162" s="2" t="n">
        <v>114400</v>
      </c>
      <c r="AF162" s="2" t="n">
        <v>979390</v>
      </c>
    </row>
    <row r="163" ht="16" customHeight="1">
      <c r="A163" s="2" t="inlineStr">
        <is>
          <t>11/19/2025</t>
        </is>
      </c>
      <c r="B163" s="2" t="n">
        <v>354330</v>
      </c>
      <c r="C163" s="2" t="n">
        <v>201490</v>
      </c>
      <c r="D163" s="2" t="n">
        <v>22820</v>
      </c>
      <c r="E163" s="2" t="n">
        <v>23020000</v>
      </c>
      <c r="F163" s="2" t="n">
        <v>526030</v>
      </c>
      <c r="G163" s="2" t="n">
        <v>2100000</v>
      </c>
      <c r="H163" s="2" t="n">
        <v>971800</v>
      </c>
      <c r="I163" s="2" t="n">
        <v>651410</v>
      </c>
      <c r="J163" s="2" t="n">
        <v>146760000</v>
      </c>
      <c r="K163" s="2" t="n">
        <v>2780000</v>
      </c>
      <c r="L163" s="2" t="n">
        <v>131270</v>
      </c>
      <c r="M163" s="2" t="n">
        <v>292050</v>
      </c>
      <c r="N163" s="2" t="n"/>
      <c r="O163" s="2" t="n">
        <v>2210000</v>
      </c>
      <c r="P163" s="2" t="n">
        <v>1870000</v>
      </c>
      <c r="Q163" s="2" t="n">
        <v>20710</v>
      </c>
      <c r="R163" s="2" t="n">
        <v>711850</v>
      </c>
      <c r="S163" s="2" t="n">
        <v>615990</v>
      </c>
      <c r="T163" s="2" t="n">
        <v>39650</v>
      </c>
      <c r="U163" s="2" t="n">
        <v>2900000</v>
      </c>
      <c r="V163" s="2" t="n">
        <v>2670000</v>
      </c>
      <c r="W163" s="2" t="n">
        <v>352770</v>
      </c>
      <c r="X163" s="2" t="n">
        <v>80660</v>
      </c>
      <c r="Z163" s="2" t="n">
        <v>5310000</v>
      </c>
      <c r="AA163" s="2" t="n">
        <v>18000000</v>
      </c>
      <c r="AB163" s="2" t="n">
        <v>8130000.000000001</v>
      </c>
      <c r="AC163" s="2" t="n">
        <v>28030000</v>
      </c>
      <c r="AD163" s="2" t="n">
        <v>1310000</v>
      </c>
      <c r="AE163" s="2" t="n">
        <v>95860</v>
      </c>
      <c r="AF163" s="2" t="n">
        <v>797610</v>
      </c>
    </row>
    <row r="164" ht="16" customHeight="1">
      <c r="A164" s="2" t="inlineStr">
        <is>
          <t>11/18/2025</t>
        </is>
      </c>
      <c r="B164" s="2" t="n">
        <v>360610</v>
      </c>
      <c r="C164" s="2" t="n">
        <v>197970</v>
      </c>
      <c r="D164" s="2" t="n">
        <v>19980</v>
      </c>
      <c r="E164" s="2" t="n">
        <v>13130000</v>
      </c>
      <c r="F164" s="2" t="n">
        <v>286170</v>
      </c>
      <c r="G164" s="2" t="n">
        <v>1400000</v>
      </c>
      <c r="H164" s="2" t="n">
        <v>1220000</v>
      </c>
      <c r="I164" s="2" t="n">
        <v>392920</v>
      </c>
      <c r="J164" s="2" t="n">
        <v>259620000</v>
      </c>
      <c r="K164" s="2" t="n">
        <v>3290000</v>
      </c>
      <c r="L164" s="2" t="n">
        <v>117700</v>
      </c>
      <c r="M164" s="2" t="n">
        <v>311710</v>
      </c>
      <c r="N164" s="2" t="n"/>
      <c r="O164" s="2" t="n">
        <v>2390000</v>
      </c>
      <c r="P164" s="2" t="n">
        <v>1720000</v>
      </c>
      <c r="Q164" s="2" t="n">
        <v>45010</v>
      </c>
      <c r="R164" s="2" t="n">
        <v>489870</v>
      </c>
      <c r="S164" s="2" t="n">
        <v>828940</v>
      </c>
      <c r="T164" s="2" t="n">
        <v>39720</v>
      </c>
      <c r="U164" s="2" t="n">
        <v>2960000</v>
      </c>
      <c r="V164" s="2" t="n">
        <v>2530000</v>
      </c>
      <c r="W164" s="2" t="n">
        <v>461040</v>
      </c>
      <c r="X164" s="2" t="n">
        <v>221770</v>
      </c>
      <c r="Z164" s="2" t="n">
        <v>8310000.000000001</v>
      </c>
      <c r="AA164" s="2" t="n">
        <v>17180000</v>
      </c>
      <c r="AB164" s="2" t="n">
        <v>16450000</v>
      </c>
      <c r="AC164" s="2" t="n">
        <v>22050000</v>
      </c>
      <c r="AD164" s="2" t="n">
        <v>2370000</v>
      </c>
      <c r="AE164" s="2" t="n">
        <v>115100</v>
      </c>
      <c r="AF164" s="2" t="n">
        <v>815010</v>
      </c>
    </row>
    <row r="165" ht="16" customHeight="1">
      <c r="A165" s="2" t="inlineStr">
        <is>
          <t>11/17/2025</t>
        </is>
      </c>
      <c r="B165" s="2" t="n">
        <v>330270</v>
      </c>
      <c r="C165" s="2" t="n">
        <v>203890</v>
      </c>
      <c r="D165" s="2" t="n">
        <v>19560</v>
      </c>
      <c r="E165" s="2" t="n">
        <v>15030000</v>
      </c>
      <c r="F165" s="2" t="n">
        <v>388820</v>
      </c>
      <c r="G165" s="2" t="n">
        <v>2880000</v>
      </c>
      <c r="H165" s="2" t="n">
        <v>389210</v>
      </c>
      <c r="I165" s="2" t="n">
        <v>584500</v>
      </c>
      <c r="J165" s="2" t="n">
        <v>170340000</v>
      </c>
      <c r="K165" s="2" t="n">
        <v>4500000</v>
      </c>
      <c r="L165" s="2" t="n">
        <v>135970</v>
      </c>
      <c r="M165" s="2" t="n">
        <v>365600</v>
      </c>
      <c r="N165" s="2" t="n"/>
      <c r="O165" s="2" t="n">
        <v>1610000</v>
      </c>
      <c r="P165" s="2" t="n">
        <v>1630000</v>
      </c>
      <c r="Q165" s="2" t="n">
        <v>8290</v>
      </c>
      <c r="R165" s="2" t="n">
        <v>253970</v>
      </c>
      <c r="S165" s="2" t="n">
        <v>743900</v>
      </c>
      <c r="T165" s="2" t="n">
        <v>22280</v>
      </c>
      <c r="U165" s="2" t="n">
        <v>3210000</v>
      </c>
      <c r="V165" s="2" t="n">
        <v>1920000</v>
      </c>
      <c r="W165" s="2" t="n">
        <v>485980</v>
      </c>
      <c r="X165" s="2" t="n">
        <v>219090</v>
      </c>
      <c r="Z165" s="2" t="n">
        <v>5540000</v>
      </c>
      <c r="AA165" s="2" t="n">
        <v>17420000</v>
      </c>
      <c r="AB165" s="2" t="n">
        <v>7530000</v>
      </c>
      <c r="AC165" s="2" t="n">
        <v>19540000</v>
      </c>
      <c r="AD165" s="2" t="n">
        <v>1790000</v>
      </c>
      <c r="AE165" s="2" t="n">
        <v>109890</v>
      </c>
      <c r="AF165" s="2" t="n">
        <v>814350</v>
      </c>
    </row>
    <row r="166" ht="16" customHeight="1">
      <c r="A166" s="2" t="inlineStr">
        <is>
          <t>11/16/2025</t>
        </is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>
        <v>124110000</v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Z166" s="2" t="n"/>
      <c r="AA166" s="2" t="n"/>
      <c r="AB166" s="2" t="n"/>
      <c r="AC166" s="2" t="n"/>
      <c r="AD166" s="2" t="n"/>
      <c r="AE166" s="2" t="n">
        <v>68240</v>
      </c>
      <c r="AF166" s="2" t="n">
        <v>606010</v>
      </c>
    </row>
    <row r="167" ht="16" customHeight="1">
      <c r="A167" s="2" t="inlineStr">
        <is>
          <t>11/15/2025</t>
        </is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>
        <v>75710000</v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Z167" s="2" t="n"/>
      <c r="AA167" s="2" t="n"/>
      <c r="AB167" s="2" t="n"/>
      <c r="AC167" s="2" t="n"/>
      <c r="AD167" s="2" t="n"/>
      <c r="AE167" s="2" t="n">
        <v>48150</v>
      </c>
      <c r="AF167" s="2" t="n">
        <v>358820</v>
      </c>
    </row>
    <row r="168" ht="16" customHeight="1">
      <c r="A168" s="2" t="inlineStr">
        <is>
          <t>11/14/2025</t>
        </is>
      </c>
      <c r="B168" s="2" t="n">
        <v>352000</v>
      </c>
      <c r="C168" s="2" t="n">
        <v>210270</v>
      </c>
      <c r="D168" s="2" t="n">
        <v>19730</v>
      </c>
      <c r="E168" s="2" t="n">
        <v>13520000</v>
      </c>
      <c r="F168" s="2" t="n">
        <v>482160</v>
      </c>
      <c r="G168" s="2" t="n">
        <v>1980000</v>
      </c>
      <c r="H168" s="2" t="n">
        <v>458000</v>
      </c>
      <c r="I168" s="2" t="n">
        <v>307860</v>
      </c>
      <c r="J168" s="2" t="n">
        <v>227150000</v>
      </c>
      <c r="K168" s="2" t="n">
        <v>4480000</v>
      </c>
      <c r="L168" s="2" t="n">
        <v>161230</v>
      </c>
      <c r="M168" s="2" t="n">
        <v>331850</v>
      </c>
      <c r="N168" s="2" t="n"/>
      <c r="O168" s="2" t="n">
        <v>2000000</v>
      </c>
      <c r="P168" s="2" t="n">
        <v>1440000</v>
      </c>
      <c r="Q168" s="2" t="n">
        <v>20160</v>
      </c>
      <c r="R168" s="2" t="n">
        <v>399500</v>
      </c>
      <c r="S168" s="2" t="n">
        <v>1390000</v>
      </c>
      <c r="T168" s="2" t="n">
        <v>173140</v>
      </c>
      <c r="U168" s="2" t="n">
        <v>4690000</v>
      </c>
      <c r="V168" s="2" t="n">
        <v>2950000</v>
      </c>
      <c r="W168" s="2" t="n">
        <v>555740</v>
      </c>
      <c r="X168" s="2" t="n">
        <v>863380</v>
      </c>
      <c r="Z168" s="2" t="n">
        <v>5870000</v>
      </c>
      <c r="AA168" s="2" t="n">
        <v>19840000</v>
      </c>
      <c r="AB168" s="2" t="n">
        <v>7650000</v>
      </c>
      <c r="AC168" s="2" t="n">
        <v>23230000</v>
      </c>
      <c r="AD168" s="2" t="n">
        <v>1550000</v>
      </c>
      <c r="AE168" s="2" t="n">
        <v>131300</v>
      </c>
      <c r="AF168" s="2" t="n">
        <v>953750</v>
      </c>
    </row>
    <row r="169" ht="16" customHeight="1">
      <c r="A169" s="2" t="inlineStr">
        <is>
          <t>11/13/2025</t>
        </is>
      </c>
      <c r="B169" s="2" t="n">
        <v>381570</v>
      </c>
      <c r="C169" s="2" t="n">
        <v>212530</v>
      </c>
      <c r="D169" s="2" t="n">
        <v>31130</v>
      </c>
      <c r="E169" s="2" t="n">
        <v>11260000</v>
      </c>
      <c r="F169" s="2" t="n">
        <v>450710</v>
      </c>
      <c r="G169" s="2" t="n">
        <v>2690000</v>
      </c>
      <c r="H169" s="2" t="n">
        <v>689940</v>
      </c>
      <c r="I169" s="2" t="n">
        <v>286820</v>
      </c>
      <c r="J169" s="2" t="n">
        <v>244260000</v>
      </c>
      <c r="K169" s="2" t="n">
        <v>4220000</v>
      </c>
      <c r="L169" s="2" t="n">
        <v>176750</v>
      </c>
      <c r="M169" s="2" t="n">
        <v>434230</v>
      </c>
      <c r="N169" s="2" t="n"/>
      <c r="O169" s="2" t="n">
        <v>2310000</v>
      </c>
      <c r="P169" s="2" t="n">
        <v>1970000</v>
      </c>
      <c r="Q169" s="2" t="n">
        <v>21230</v>
      </c>
      <c r="R169" s="2" t="n">
        <v>574390</v>
      </c>
      <c r="S169" s="2" t="n">
        <v>781580</v>
      </c>
      <c r="T169" s="2" t="n">
        <v>27230</v>
      </c>
      <c r="U169" s="2" t="n">
        <v>4330000</v>
      </c>
      <c r="V169" s="2" t="n">
        <v>1500000</v>
      </c>
      <c r="W169" s="2" t="n">
        <v>559760</v>
      </c>
      <c r="X169" s="2" t="n">
        <v>239820</v>
      </c>
      <c r="Z169" s="2" t="n">
        <v>6280000</v>
      </c>
      <c r="AA169" s="2" t="n">
        <v>21710000</v>
      </c>
      <c r="AB169" s="2" t="n">
        <v>8010000</v>
      </c>
      <c r="AC169" s="2" t="n">
        <v>16470000</v>
      </c>
      <c r="AD169" s="2" t="n">
        <v>1470000</v>
      </c>
      <c r="AE169" s="2" t="n">
        <v>100440</v>
      </c>
      <c r="AF169" s="2" t="n">
        <v>1010000</v>
      </c>
    </row>
    <row r="170" ht="16" customHeight="1">
      <c r="A170" s="2" t="inlineStr">
        <is>
          <t>11/12/2025</t>
        </is>
      </c>
      <c r="B170" s="2" t="n">
        <v>350420</v>
      </c>
      <c r="C170" s="2" t="n">
        <v>204320</v>
      </c>
      <c r="D170" s="2" t="n">
        <v>29330</v>
      </c>
      <c r="E170" s="2" t="n">
        <v>9070000</v>
      </c>
      <c r="F170" s="2" t="n">
        <v>241670</v>
      </c>
      <c r="G170" s="2" t="n">
        <v>1780000</v>
      </c>
      <c r="H170" s="2" t="n">
        <v>118890</v>
      </c>
      <c r="I170" s="2" t="n">
        <v>117950</v>
      </c>
      <c r="J170" s="2" t="n">
        <v>166510000</v>
      </c>
      <c r="K170" s="2" t="n">
        <v>3990000</v>
      </c>
      <c r="L170" s="2" t="n">
        <v>85950</v>
      </c>
      <c r="M170" s="2" t="n">
        <v>286560</v>
      </c>
      <c r="N170" s="2" t="n"/>
      <c r="O170" s="2" t="n">
        <v>1670000</v>
      </c>
      <c r="P170" s="2" t="n">
        <v>1680000</v>
      </c>
      <c r="Q170" s="2" t="n">
        <v>135910</v>
      </c>
      <c r="R170" s="2" t="n">
        <v>511230</v>
      </c>
      <c r="S170" s="2" t="n">
        <v>757090</v>
      </c>
      <c r="T170" s="2" t="n">
        <v>12900</v>
      </c>
      <c r="U170" s="2" t="n">
        <v>2120000</v>
      </c>
      <c r="V170" s="2" t="n">
        <v>1880000</v>
      </c>
      <c r="W170" s="2" t="n">
        <v>543830</v>
      </c>
      <c r="X170" s="2" t="n">
        <v>215470</v>
      </c>
      <c r="Z170" s="2" t="n">
        <v>3860000</v>
      </c>
      <c r="AA170" s="2" t="n">
        <v>15030000</v>
      </c>
      <c r="AB170" s="2" t="n">
        <v>5380000</v>
      </c>
      <c r="AC170" s="2" t="n">
        <v>10800000</v>
      </c>
      <c r="AD170" s="2" t="n">
        <v>1180000</v>
      </c>
      <c r="AE170" s="2" t="n">
        <v>63520</v>
      </c>
      <c r="AF170" s="2" t="n">
        <v>579390</v>
      </c>
    </row>
    <row r="171" ht="16" customHeight="1">
      <c r="A171" s="2" t="inlineStr">
        <is>
          <t>11/11/2025</t>
        </is>
      </c>
      <c r="B171" s="2" t="n">
        <v>340230</v>
      </c>
      <c r="C171" s="2" t="n">
        <v>221970</v>
      </c>
      <c r="D171" s="2" t="n">
        <v>31710</v>
      </c>
      <c r="E171" s="2" t="n">
        <v>8700000</v>
      </c>
      <c r="F171" s="2" t="n">
        <v>122280</v>
      </c>
      <c r="G171" s="2" t="n">
        <v>766470</v>
      </c>
      <c r="H171" s="2" t="n">
        <v>113980</v>
      </c>
      <c r="I171" s="2" t="n">
        <v>71070</v>
      </c>
      <c r="J171" s="2" t="n">
        <v>165420000</v>
      </c>
      <c r="K171" s="2" t="n">
        <v>4330000</v>
      </c>
      <c r="L171" s="2" t="n">
        <v>105920</v>
      </c>
      <c r="M171" s="2" t="n">
        <v>306470</v>
      </c>
      <c r="N171" s="2" t="n"/>
      <c r="O171" s="2" t="n">
        <v>1160000</v>
      </c>
      <c r="P171" s="2" t="n">
        <v>1310000</v>
      </c>
      <c r="Q171" s="2" t="n">
        <v>16500</v>
      </c>
      <c r="R171" s="2" t="n">
        <v>540620</v>
      </c>
      <c r="S171" s="2" t="n">
        <v>769280</v>
      </c>
      <c r="T171" s="2" t="n">
        <v>41180</v>
      </c>
      <c r="U171" s="2" t="n">
        <v>2230000</v>
      </c>
      <c r="V171" s="2" t="n">
        <v>2360000</v>
      </c>
      <c r="W171" s="2" t="n">
        <v>456950</v>
      </c>
      <c r="X171" s="2" t="n">
        <v>865360</v>
      </c>
      <c r="Z171" s="2" t="n">
        <v>3760000</v>
      </c>
      <c r="AA171" s="2" t="n">
        <v>16950000</v>
      </c>
      <c r="AB171" s="2" t="n">
        <v>6780000</v>
      </c>
      <c r="AC171" s="2" t="n">
        <v>8340000</v>
      </c>
      <c r="AD171" s="2" t="n">
        <v>1130000</v>
      </c>
      <c r="AE171" s="2" t="n">
        <v>73040</v>
      </c>
      <c r="AF171" s="2" t="n">
        <v>707000</v>
      </c>
    </row>
    <row r="172" ht="16" customHeight="1">
      <c r="A172" s="2" t="inlineStr">
        <is>
          <t>11/10/2025</t>
        </is>
      </c>
      <c r="B172" s="2" t="n">
        <v>341480</v>
      </c>
      <c r="C172" s="2" t="n">
        <v>217460</v>
      </c>
      <c r="D172" s="2" t="n">
        <v>35890</v>
      </c>
      <c r="E172" s="2" t="n">
        <v>14120000</v>
      </c>
      <c r="F172" s="2" t="n">
        <v>216710</v>
      </c>
      <c r="G172" s="2" t="n">
        <v>1210000</v>
      </c>
      <c r="H172" s="2" t="n">
        <v>265320</v>
      </c>
      <c r="I172" s="2" t="n">
        <v>196880</v>
      </c>
      <c r="J172" s="2" t="n">
        <v>132250000</v>
      </c>
      <c r="K172" s="2" t="n">
        <v>4530000</v>
      </c>
      <c r="L172" s="2" t="n">
        <v>94250</v>
      </c>
      <c r="M172" s="2" t="n">
        <v>424300</v>
      </c>
      <c r="N172" s="2" t="n"/>
      <c r="O172" s="2" t="n">
        <v>1410000</v>
      </c>
      <c r="P172" s="2" t="n">
        <v>1800000</v>
      </c>
      <c r="Q172" s="2" t="n">
        <v>43790</v>
      </c>
      <c r="R172" s="2" t="n">
        <v>473140</v>
      </c>
      <c r="S172" s="2" t="n">
        <v>1100000</v>
      </c>
      <c r="T172" s="2" t="n">
        <v>40740</v>
      </c>
      <c r="U172" s="2" t="n">
        <v>3610000</v>
      </c>
      <c r="V172" s="2" t="n">
        <v>2080000</v>
      </c>
      <c r="W172" s="2" t="n">
        <v>501900</v>
      </c>
      <c r="X172" s="2" t="n">
        <v>784900</v>
      </c>
      <c r="Z172" s="2" t="n">
        <v>4910000</v>
      </c>
      <c r="AA172" s="2" t="n">
        <v>19400000</v>
      </c>
      <c r="AB172" s="2" t="n">
        <v>7050000</v>
      </c>
      <c r="AC172" s="2" t="n">
        <v>9530000</v>
      </c>
      <c r="AD172" s="2" t="n">
        <v>1520000</v>
      </c>
      <c r="AE172" s="2" t="n">
        <v>70750</v>
      </c>
      <c r="AF172" s="2" t="n">
        <v>652630</v>
      </c>
    </row>
    <row r="173" ht="16" customHeight="1">
      <c r="A173" s="2" t="inlineStr">
        <is>
          <t>11/09/2025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>
        <v>103400000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Z173" s="2" t="n"/>
      <c r="AA173" s="2" t="n"/>
      <c r="AB173" s="2" t="n"/>
      <c r="AC173" s="2" t="n"/>
      <c r="AD173" s="2" t="n"/>
      <c r="AE173" s="2" t="n">
        <v>51640</v>
      </c>
      <c r="AF173" s="2" t="n">
        <v>499750</v>
      </c>
    </row>
    <row r="174" ht="16" customHeight="1">
      <c r="A174" s="2" t="inlineStr">
        <is>
          <t>11/08/2025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>
        <v>105250000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Z174" s="2" t="n"/>
      <c r="AA174" s="2" t="n"/>
      <c r="AB174" s="2" t="n"/>
      <c r="AC174" s="2" t="n"/>
      <c r="AD174" s="2" t="n"/>
      <c r="AE174" s="2" t="n">
        <v>41410</v>
      </c>
      <c r="AF174" s="2" t="n">
        <v>318890</v>
      </c>
    </row>
    <row r="175" ht="16" customHeight="1">
      <c r="A175" s="2" t="inlineStr">
        <is>
          <t>11/07/2025</t>
        </is>
      </c>
      <c r="B175" s="2" t="n">
        <v>362430</v>
      </c>
      <c r="C175" s="2" t="n">
        <v>245610</v>
      </c>
      <c r="D175" s="2" t="n">
        <v>17500</v>
      </c>
      <c r="E175" s="2" t="n">
        <v>18800000</v>
      </c>
      <c r="F175" s="2" t="n">
        <v>379050</v>
      </c>
      <c r="G175" s="2" t="n">
        <v>1510000</v>
      </c>
      <c r="H175" s="2" t="n">
        <v>431590</v>
      </c>
      <c r="I175" s="2" t="n">
        <v>177960</v>
      </c>
      <c r="J175" s="2" t="n">
        <v>214070000</v>
      </c>
      <c r="K175" s="2" t="n">
        <v>7160000</v>
      </c>
      <c r="L175" s="2" t="n">
        <v>94510</v>
      </c>
      <c r="M175" s="2" t="n">
        <v>662080</v>
      </c>
      <c r="N175" s="2" t="n"/>
      <c r="O175" s="2" t="n">
        <v>1590000</v>
      </c>
      <c r="P175" s="2" t="n">
        <v>1900000</v>
      </c>
      <c r="Q175" s="2" t="n">
        <v>68610</v>
      </c>
      <c r="R175" s="2" t="n">
        <v>1770000</v>
      </c>
      <c r="S175" s="2" t="n">
        <v>1020000</v>
      </c>
      <c r="T175" s="2" t="n">
        <v>74250</v>
      </c>
      <c r="U175" s="2" t="n">
        <v>4130000</v>
      </c>
      <c r="V175" s="2" t="n">
        <v>2050000</v>
      </c>
      <c r="W175" s="2" t="n">
        <v>452910</v>
      </c>
      <c r="X175" s="2" t="n">
        <v>143610</v>
      </c>
      <c r="Z175" s="2" t="n">
        <v>5910000</v>
      </c>
      <c r="AA175" s="2" t="n">
        <v>18820000</v>
      </c>
      <c r="AB175" s="2" t="n">
        <v>7790000</v>
      </c>
      <c r="AC175" s="2" t="n">
        <v>16980000</v>
      </c>
      <c r="AD175" s="2" t="n">
        <v>1930000</v>
      </c>
      <c r="AE175" s="2" t="n">
        <v>94270</v>
      </c>
      <c r="AF175" s="2" t="n">
        <v>736250</v>
      </c>
    </row>
    <row r="176" ht="16" customHeight="1">
      <c r="A176" s="2" t="inlineStr">
        <is>
          <t>11/06/2025</t>
        </is>
      </c>
      <c r="B176" s="2" t="n">
        <v>369720</v>
      </c>
      <c r="C176" s="2" t="n">
        <v>282420</v>
      </c>
      <c r="D176" s="2" t="n">
        <v>20280</v>
      </c>
      <c r="E176" s="2" t="n">
        <v>16660000</v>
      </c>
      <c r="F176" s="2" t="n">
        <v>203010</v>
      </c>
      <c r="G176" s="2" t="n">
        <v>1220000</v>
      </c>
      <c r="H176" s="2" t="n">
        <v>617080</v>
      </c>
      <c r="I176" s="2" t="n">
        <v>219970</v>
      </c>
      <c r="J176" s="2" t="n">
        <v>196520000</v>
      </c>
      <c r="K176" s="2" t="n">
        <v>2890000</v>
      </c>
      <c r="L176" s="2" t="n">
        <v>77230</v>
      </c>
      <c r="M176" s="2" t="n">
        <v>478710</v>
      </c>
      <c r="N176" s="2" t="n"/>
      <c r="O176" s="2" t="n">
        <v>1210000</v>
      </c>
      <c r="P176" s="2" t="n">
        <v>3130000</v>
      </c>
      <c r="Q176" s="2" t="n">
        <v>53530</v>
      </c>
      <c r="R176" s="2" t="n">
        <v>1440000</v>
      </c>
      <c r="S176" s="2" t="n">
        <v>910760</v>
      </c>
      <c r="T176" s="2" t="n">
        <v>42090</v>
      </c>
      <c r="U176" s="2" t="n">
        <v>3450000</v>
      </c>
      <c r="V176" s="2" t="n">
        <v>1200000</v>
      </c>
      <c r="W176" s="2" t="n">
        <v>475840</v>
      </c>
      <c r="X176" s="2" t="n">
        <v>59830</v>
      </c>
      <c r="Z176" s="2" t="n">
        <v>5800000</v>
      </c>
      <c r="AA176" s="2" t="n">
        <v>15870000</v>
      </c>
      <c r="AB176" s="2" t="n">
        <v>8650000</v>
      </c>
      <c r="AC176" s="2" t="n">
        <v>14470000</v>
      </c>
      <c r="AD176" s="2" t="n">
        <v>1830000</v>
      </c>
      <c r="AE176" s="2" t="n">
        <v>78430</v>
      </c>
      <c r="AF176" s="2" t="n">
        <v>600510</v>
      </c>
    </row>
    <row r="177" ht="16" customHeight="1">
      <c r="A177" s="2" t="inlineStr">
        <is>
          <t>11/05/2025</t>
        </is>
      </c>
      <c r="B177" s="2" t="n">
        <v>348550</v>
      </c>
      <c r="C177" s="2" t="n">
        <v>237950</v>
      </c>
      <c r="D177" s="2" t="n">
        <v>30880</v>
      </c>
      <c r="E177" s="2" t="n">
        <v>11330000</v>
      </c>
      <c r="F177" s="2" t="n">
        <v>233920</v>
      </c>
      <c r="G177" s="2" t="n">
        <v>1020000</v>
      </c>
      <c r="H177" s="2" t="n">
        <v>367480</v>
      </c>
      <c r="I177" s="2" t="n">
        <v>154280</v>
      </c>
      <c r="J177" s="2" t="n">
        <v>288190000</v>
      </c>
      <c r="K177" s="2" t="n">
        <v>3640000</v>
      </c>
      <c r="L177" s="2" t="n">
        <v>108290</v>
      </c>
      <c r="M177" s="2" t="n">
        <v>646420</v>
      </c>
      <c r="N177" s="2" t="n"/>
      <c r="O177" s="2" t="n">
        <v>1630000</v>
      </c>
      <c r="P177" s="2" t="n">
        <v>1540000</v>
      </c>
      <c r="Q177" s="2" t="n">
        <v>24770</v>
      </c>
      <c r="R177" s="2" t="n">
        <v>2210000</v>
      </c>
      <c r="S177" s="2" t="n">
        <v>1160000</v>
      </c>
      <c r="T177" s="2" t="n">
        <v>386550</v>
      </c>
      <c r="U177" s="2" t="n">
        <v>5500000</v>
      </c>
      <c r="V177" s="2" t="n">
        <v>3270000</v>
      </c>
      <c r="W177" s="2" t="n">
        <v>543790</v>
      </c>
      <c r="X177" s="2" t="n">
        <v>140190</v>
      </c>
      <c r="Z177" s="2" t="n">
        <v>3670000</v>
      </c>
      <c r="AA177" s="2" t="n">
        <v>16560000</v>
      </c>
      <c r="AB177" s="2" t="n">
        <v>5130000</v>
      </c>
      <c r="AC177" s="2" t="n">
        <v>9680000</v>
      </c>
      <c r="AD177" s="2" t="n">
        <v>1740000</v>
      </c>
      <c r="AE177" s="2" t="n">
        <v>98500</v>
      </c>
      <c r="AF177" s="2" t="n">
        <v>884880</v>
      </c>
    </row>
    <row r="178" ht="16" customHeight="1">
      <c r="A178" s="2" t="inlineStr">
        <is>
          <t>11/04/2025</t>
        </is>
      </c>
      <c r="B178" s="2" t="n">
        <v>367430</v>
      </c>
      <c r="C178" s="2" t="n">
        <v>213470</v>
      </c>
      <c r="D178" s="2" t="n">
        <v>18590</v>
      </c>
      <c r="E178" s="2" t="n">
        <v>15710000</v>
      </c>
      <c r="F178" s="2" t="n">
        <v>230750</v>
      </c>
      <c r="G178" s="2" t="n">
        <v>1520000</v>
      </c>
      <c r="H178" s="2" t="n">
        <v>133480</v>
      </c>
      <c r="I178" s="2" t="n">
        <v>282030</v>
      </c>
      <c r="J178" s="2" t="n">
        <v>378980000</v>
      </c>
      <c r="K178" s="2" t="n">
        <v>3660000</v>
      </c>
      <c r="L178" s="2" t="n">
        <v>111360</v>
      </c>
      <c r="M178" s="2" t="n">
        <v>353390</v>
      </c>
      <c r="N178" s="2" t="n"/>
      <c r="O178" s="2" t="n">
        <v>1650000</v>
      </c>
      <c r="P178" s="2" t="n">
        <v>1550000</v>
      </c>
      <c r="Q178" s="2" t="n">
        <v>108950</v>
      </c>
      <c r="R178" s="2" t="n">
        <v>2680000</v>
      </c>
      <c r="S178" s="2" t="n">
        <v>1240000</v>
      </c>
      <c r="T178" s="2" t="n">
        <v>114980</v>
      </c>
      <c r="U178" s="2" t="n">
        <v>3320000</v>
      </c>
      <c r="V178" s="2" t="n">
        <v>1980000</v>
      </c>
      <c r="W178" s="2" t="n">
        <v>485610</v>
      </c>
      <c r="X178" s="2" t="n">
        <v>178260</v>
      </c>
      <c r="Z178" s="2" t="n">
        <v>6880000</v>
      </c>
      <c r="AA178" s="2" t="n">
        <v>18190000</v>
      </c>
      <c r="AB178" s="2" t="n">
        <v>6590000</v>
      </c>
      <c r="AC178" s="2" t="n">
        <v>15740000</v>
      </c>
      <c r="AD178" s="2" t="n">
        <v>1520000</v>
      </c>
      <c r="AE178" s="2" t="n">
        <v>134180</v>
      </c>
      <c r="AF178" s="2" t="n">
        <v>1680000</v>
      </c>
    </row>
    <row r="179" ht="16" customHeight="1">
      <c r="A179" s="2" t="inlineStr">
        <is>
          <t>11/03/2025</t>
        </is>
      </c>
      <c r="B179" s="2" t="n">
        <v>347030</v>
      </c>
      <c r="C179" s="2" t="n">
        <v>262060</v>
      </c>
      <c r="D179" s="2" t="n">
        <v>31550</v>
      </c>
      <c r="E179" s="2" t="n">
        <v>27050000</v>
      </c>
      <c r="F179" s="2" t="n">
        <v>241010</v>
      </c>
      <c r="G179" s="2" t="n">
        <v>1230000</v>
      </c>
      <c r="H179" s="2" t="n">
        <v>219790</v>
      </c>
      <c r="I179" s="2" t="n">
        <v>221410</v>
      </c>
      <c r="J179" s="2" t="n">
        <v>270400000</v>
      </c>
      <c r="K179" s="2" t="n">
        <v>3890000</v>
      </c>
      <c r="L179" s="2" t="n">
        <v>152390</v>
      </c>
      <c r="M179" s="2" t="n">
        <v>434940</v>
      </c>
      <c r="N179" s="2" t="n"/>
      <c r="O179" s="2" t="n">
        <v>2620000</v>
      </c>
      <c r="P179" s="2" t="n">
        <v>1600000</v>
      </c>
      <c r="Q179" s="2" t="n">
        <v>22920</v>
      </c>
      <c r="R179" s="2" t="n">
        <v>587960</v>
      </c>
      <c r="S179" s="2" t="n">
        <v>1060000</v>
      </c>
      <c r="T179" s="2" t="n">
        <v>205870</v>
      </c>
      <c r="U179" s="2" t="n">
        <v>3430000</v>
      </c>
      <c r="V179" s="2" t="n">
        <v>2080000</v>
      </c>
      <c r="W179" s="2" t="n">
        <v>579390</v>
      </c>
      <c r="X179" s="2" t="n">
        <v>98760</v>
      </c>
      <c r="Z179" s="2" t="n">
        <v>4540000</v>
      </c>
      <c r="AA179" s="2" t="n">
        <v>20530000</v>
      </c>
      <c r="AB179" s="2" t="n">
        <v>7540000</v>
      </c>
      <c r="AC179" s="2" t="n">
        <v>11070000</v>
      </c>
      <c r="AD179" s="2" t="n">
        <v>1520000</v>
      </c>
      <c r="AE179" s="2" t="n">
        <v>85370</v>
      </c>
      <c r="AF179" s="2" t="n">
        <v>960180</v>
      </c>
    </row>
    <row r="180" ht="16" customHeight="1">
      <c r="A180" s="2" t="inlineStr">
        <is>
          <t>11/02/2025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>
        <v>91540000</v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Z180" s="2" t="n"/>
      <c r="AA180" s="2" t="n"/>
      <c r="AB180" s="2" t="n"/>
      <c r="AC180" s="2" t="n"/>
      <c r="AD180" s="2" t="n"/>
      <c r="AE180" s="2" t="n">
        <v>41820</v>
      </c>
      <c r="AF180" s="2" t="n">
        <v>237530</v>
      </c>
    </row>
    <row r="181" ht="16" customHeight="1">
      <c r="A181" s="2" t="inlineStr">
        <is>
          <t>11/01/2025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>
        <v>85530000</v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Z181" s="2" t="n"/>
      <c r="AA181" s="2" t="n"/>
      <c r="AB181" s="2" t="n"/>
      <c r="AC181" s="2" t="n"/>
      <c r="AD181" s="2" t="n"/>
      <c r="AE181" s="2" t="n">
        <v>27130</v>
      </c>
      <c r="AF181" s="2" t="n">
        <v>167080</v>
      </c>
    </row>
    <row r="182" ht="16" customHeight="1">
      <c r="A182" s="2" t="inlineStr">
        <is>
          <t>10/31/2025</t>
        </is>
      </c>
      <c r="B182" s="2" t="n">
        <v>334620</v>
      </c>
      <c r="C182" s="2" t="n">
        <v>209210</v>
      </c>
      <c r="D182" s="2" t="n">
        <v>20100</v>
      </c>
      <c r="E182" s="2" t="n">
        <v>23250000</v>
      </c>
      <c r="F182" s="2" t="n">
        <v>271320</v>
      </c>
      <c r="G182" s="2" t="n">
        <v>1450000</v>
      </c>
      <c r="H182" s="2" t="n">
        <v>239800</v>
      </c>
      <c r="I182" s="2" t="n">
        <v>207770</v>
      </c>
      <c r="J182" s="2" t="n">
        <v>149330000</v>
      </c>
      <c r="K182" s="2" t="n">
        <v>4030000</v>
      </c>
      <c r="L182" s="2" t="n">
        <v>88510</v>
      </c>
      <c r="M182" s="2" t="n">
        <v>299890</v>
      </c>
      <c r="N182" s="2" t="n"/>
      <c r="O182" s="2" t="n">
        <v>2490000</v>
      </c>
      <c r="P182" s="2" t="n">
        <v>1780000</v>
      </c>
      <c r="Q182" s="2" t="n">
        <v>21470</v>
      </c>
      <c r="R182" s="2" t="n">
        <v>493100</v>
      </c>
      <c r="S182" s="2" t="n">
        <v>851070</v>
      </c>
      <c r="T182" s="2" t="n">
        <v>98740</v>
      </c>
      <c r="U182" s="2" t="n">
        <v>5180000</v>
      </c>
      <c r="V182" s="2" t="n">
        <v>1600000</v>
      </c>
      <c r="W182" s="2" t="n">
        <v>560670</v>
      </c>
      <c r="X182" s="2" t="n">
        <v>82370</v>
      </c>
      <c r="Z182" s="2" t="n">
        <v>5000000</v>
      </c>
      <c r="AA182" s="2" t="n">
        <v>16170000</v>
      </c>
      <c r="AB182" s="2" t="n">
        <v>3590000</v>
      </c>
      <c r="AC182" s="2" t="n">
        <v>14070000</v>
      </c>
      <c r="AD182" s="2" t="n">
        <v>2170000</v>
      </c>
      <c r="AE182" s="2" t="n">
        <v>68610</v>
      </c>
      <c r="AF182" s="2" t="n">
        <v>516059.9999999999</v>
      </c>
    </row>
    <row r="183" ht="16" customHeight="1">
      <c r="A183" s="2" t="inlineStr">
        <is>
          <t>10/30/2025</t>
        </is>
      </c>
      <c r="B183" s="2" t="n">
        <v>86460</v>
      </c>
      <c r="C183" s="2" t="n">
        <v>238980</v>
      </c>
      <c r="D183" s="2" t="n">
        <v>25380</v>
      </c>
      <c r="E183" s="2" t="n">
        <v>12370000</v>
      </c>
      <c r="F183" s="2" t="n">
        <v>309290</v>
      </c>
      <c r="G183" s="2" t="n">
        <v>994510</v>
      </c>
      <c r="H183" s="2" t="n">
        <v>216800</v>
      </c>
      <c r="I183" s="2" t="n">
        <v>207320</v>
      </c>
      <c r="J183" s="2" t="n">
        <v>286960000</v>
      </c>
      <c r="K183" s="2" t="n">
        <v>5110000</v>
      </c>
      <c r="L183" s="2" t="n">
        <v>167970</v>
      </c>
      <c r="M183" s="2" t="n">
        <v>526600</v>
      </c>
      <c r="N183" s="2" t="n"/>
      <c r="O183" s="2" t="n">
        <v>2050000</v>
      </c>
      <c r="P183" s="2" t="n">
        <v>1950000</v>
      </c>
      <c r="Q183" s="2" t="n">
        <v>38000</v>
      </c>
      <c r="R183" s="2" t="n">
        <v>626050</v>
      </c>
      <c r="S183" s="2" t="n">
        <v>1960000</v>
      </c>
      <c r="T183" s="2" t="n">
        <v>247580</v>
      </c>
      <c r="U183" s="2" t="n">
        <v>6790000</v>
      </c>
      <c r="V183" s="2" t="n">
        <v>2940000</v>
      </c>
      <c r="W183" s="2" t="n">
        <v>556460</v>
      </c>
      <c r="X183" s="2" t="n">
        <v>150490</v>
      </c>
      <c r="Z183" s="2" t="n">
        <v>7240000</v>
      </c>
      <c r="AA183" s="2" t="n">
        <v>18030000</v>
      </c>
      <c r="AB183" s="2" t="n">
        <v>13410000</v>
      </c>
      <c r="AC183" s="2" t="n">
        <v>15560000</v>
      </c>
      <c r="AD183" s="2" t="n">
        <v>1860000</v>
      </c>
      <c r="AE183" s="2" t="n">
        <v>80070</v>
      </c>
      <c r="AF183" s="2" t="n">
        <v>591220</v>
      </c>
    </row>
    <row r="184" ht="16" customHeight="1">
      <c r="A184" s="2" t="inlineStr">
        <is>
          <t>10/29/2025</t>
        </is>
      </c>
      <c r="B184" s="2" t="n">
        <v>38080</v>
      </c>
      <c r="C184" s="2" t="n">
        <v>218420</v>
      </c>
      <c r="D184" s="2" t="n">
        <v>22170</v>
      </c>
      <c r="E184" s="2" t="n">
        <v>14180000</v>
      </c>
      <c r="F184" s="2" t="n">
        <v>192250</v>
      </c>
      <c r="G184" s="2" t="n">
        <v>886650</v>
      </c>
      <c r="H184" s="2" t="n">
        <v>164630</v>
      </c>
      <c r="I184" s="2" t="n">
        <v>73870</v>
      </c>
      <c r="J184" s="2" t="n">
        <v>212260000</v>
      </c>
      <c r="K184" s="2" t="n">
        <v>7230000</v>
      </c>
      <c r="L184" s="2" t="n">
        <v>74700</v>
      </c>
      <c r="M184" s="2" t="n">
        <v>589410</v>
      </c>
      <c r="N184" s="2" t="n"/>
      <c r="O184" s="2" t="n">
        <v>5100000</v>
      </c>
      <c r="P184" s="2" t="n">
        <v>1610000</v>
      </c>
      <c r="Q184" s="2" t="n">
        <v>21230</v>
      </c>
      <c r="R184" s="2" t="n">
        <v>620570</v>
      </c>
      <c r="S184" s="2" t="n">
        <v>657890</v>
      </c>
      <c r="T184" s="2" t="n">
        <v>129620</v>
      </c>
      <c r="U184" s="2" t="n">
        <v>2990000</v>
      </c>
      <c r="V184" s="2" t="n">
        <v>1510000</v>
      </c>
      <c r="W184" s="2" t="n">
        <v>533860</v>
      </c>
      <c r="X184" s="2" t="n">
        <v>199870</v>
      </c>
      <c r="Z184" s="2" t="n">
        <v>4370000</v>
      </c>
      <c r="AA184" s="2" t="n">
        <v>22900000</v>
      </c>
      <c r="AB184" s="2" t="n">
        <v>13020000</v>
      </c>
      <c r="AC184" s="2" t="n">
        <v>10180000</v>
      </c>
      <c r="AD184" s="2" t="n">
        <v>1610000</v>
      </c>
      <c r="AE184" s="2" t="n">
        <v>66990</v>
      </c>
      <c r="AF184" s="2" t="n">
        <v>525970</v>
      </c>
    </row>
    <row r="185" ht="16" customHeight="1">
      <c r="A185" s="2" t="inlineStr">
        <is>
          <t>10/28/2025</t>
        </is>
      </c>
      <c r="B185" s="2" t="n">
        <v>364600</v>
      </c>
      <c r="C185" s="2" t="n">
        <v>238980</v>
      </c>
      <c r="D185" s="2" t="n">
        <v>38030</v>
      </c>
      <c r="E185" s="2" t="n">
        <v>11130000</v>
      </c>
      <c r="F185" s="2" t="n">
        <v>142640</v>
      </c>
      <c r="G185" s="2" t="n">
        <v>590990</v>
      </c>
      <c r="H185" s="2" t="n">
        <v>205800</v>
      </c>
      <c r="I185" s="2" t="n">
        <v>119380</v>
      </c>
      <c r="J185" s="2" t="n">
        <v>198500000</v>
      </c>
      <c r="K185" s="2" t="n">
        <v>6410000</v>
      </c>
      <c r="L185" s="2" t="n">
        <v>84390</v>
      </c>
      <c r="M185" s="2" t="n">
        <v>371360</v>
      </c>
      <c r="N185" s="2" t="n"/>
      <c r="O185" s="2" t="n">
        <v>1490000</v>
      </c>
      <c r="P185" s="2" t="n">
        <v>2030000</v>
      </c>
      <c r="Q185" s="2" t="n">
        <v>20650</v>
      </c>
      <c r="R185" s="2" t="n">
        <v>518179.9999999999</v>
      </c>
      <c r="S185" s="2" t="n">
        <v>691560</v>
      </c>
      <c r="T185" s="2" t="n">
        <v>190750</v>
      </c>
      <c r="U185" s="2" t="n">
        <v>4130000</v>
      </c>
      <c r="V185" s="2" t="n">
        <v>1500000</v>
      </c>
      <c r="W185" s="2" t="n">
        <v>530050</v>
      </c>
      <c r="X185" s="2" t="n">
        <v>68820</v>
      </c>
      <c r="Z185" s="2" t="n">
        <v>3410000</v>
      </c>
      <c r="AA185" s="2" t="n">
        <v>19880000</v>
      </c>
      <c r="AB185" s="2" t="n">
        <v>9940000</v>
      </c>
      <c r="AC185" s="2" t="n">
        <v>8000000</v>
      </c>
      <c r="AD185" s="2" t="n">
        <v>1380000</v>
      </c>
      <c r="AE185" s="2" t="n">
        <v>52490</v>
      </c>
      <c r="AF185" s="2" t="n">
        <v>501480</v>
      </c>
    </row>
    <row r="186" ht="16" customHeight="1">
      <c r="A186" s="2" t="inlineStr">
        <is>
          <t>10/27/2025</t>
        </is>
      </c>
      <c r="B186" s="2" t="n">
        <v>383810</v>
      </c>
      <c r="C186" s="2" t="n">
        <v>247870</v>
      </c>
      <c r="D186" s="2" t="n">
        <v>21830</v>
      </c>
      <c r="E186" s="2" t="n">
        <v>26390000</v>
      </c>
      <c r="F186" s="2" t="n">
        <v>222700</v>
      </c>
      <c r="G186" s="2" t="n">
        <v>706140</v>
      </c>
      <c r="H186" s="2" t="n">
        <v>171080</v>
      </c>
      <c r="I186" s="2" t="n">
        <v>114280</v>
      </c>
      <c r="J186" s="2" t="n">
        <v>213720000</v>
      </c>
      <c r="K186" s="2" t="n">
        <v>6160000</v>
      </c>
      <c r="L186" s="2" t="n">
        <v>125780</v>
      </c>
      <c r="M186" s="2" t="n">
        <v>475080</v>
      </c>
      <c r="N186" s="2" t="n"/>
      <c r="O186" s="2" t="n">
        <v>1580000</v>
      </c>
      <c r="P186" s="2" t="n">
        <v>1190000</v>
      </c>
      <c r="Q186" s="2" t="n">
        <v>28510</v>
      </c>
      <c r="R186" s="2" t="n">
        <v>798170</v>
      </c>
      <c r="S186" s="2" t="n">
        <v>1460000</v>
      </c>
      <c r="T186" s="2" t="n">
        <v>430430</v>
      </c>
      <c r="U186" s="2" t="n">
        <v>4030000</v>
      </c>
      <c r="V186" s="2" t="n">
        <v>1820000</v>
      </c>
      <c r="W186" s="2" t="n">
        <v>569340</v>
      </c>
      <c r="X186" s="2" t="n">
        <v>114140</v>
      </c>
      <c r="Z186" s="2" t="n">
        <v>4010000</v>
      </c>
      <c r="AA186" s="2" t="n">
        <v>17310000</v>
      </c>
      <c r="AB186" s="2" t="n">
        <v>5420000</v>
      </c>
      <c r="AC186" s="2" t="n">
        <v>8140000.000000001</v>
      </c>
      <c r="AD186" s="2" t="n">
        <v>1210000</v>
      </c>
      <c r="AE186" s="2" t="n">
        <v>70790</v>
      </c>
      <c r="AF186" s="2" t="n">
        <v>524270</v>
      </c>
    </row>
    <row r="187" ht="16" customHeight="1">
      <c r="A187" s="2" t="inlineStr">
        <is>
          <t>10/26/2025</t>
        </is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>
        <v>147730000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Z187" s="2" t="n"/>
      <c r="AA187" s="2" t="n"/>
      <c r="AB187" s="2" t="n"/>
      <c r="AC187" s="2" t="n"/>
      <c r="AD187" s="2" t="n"/>
      <c r="AE187" s="2" t="n">
        <v>42740</v>
      </c>
      <c r="AF187" s="2" t="n">
        <v>367170</v>
      </c>
    </row>
    <row r="188" ht="16" customHeight="1">
      <c r="A188" s="2" t="inlineStr">
        <is>
          <t>10/25/2025</t>
        </is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>
        <v>98760000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Z188" s="2" t="n"/>
      <c r="AA188" s="2" t="n"/>
      <c r="AB188" s="2" t="n"/>
      <c r="AC188" s="2" t="n"/>
      <c r="AD188" s="2" t="n"/>
      <c r="AE188" s="2" t="n">
        <v>23300</v>
      </c>
      <c r="AF188" s="2" t="n">
        <v>156180</v>
      </c>
    </row>
    <row r="189" ht="16" customHeight="1">
      <c r="A189" s="2" t="inlineStr">
        <is>
          <t>10/24/2025</t>
        </is>
      </c>
      <c r="B189" s="2" t="n">
        <v>71980</v>
      </c>
      <c r="C189" s="2" t="n">
        <v>200310</v>
      </c>
      <c r="D189" s="2" t="n">
        <v>24370</v>
      </c>
      <c r="E189" s="2" t="n">
        <v>12380000</v>
      </c>
      <c r="F189" s="2" t="n">
        <v>160010</v>
      </c>
      <c r="G189" s="2" t="n">
        <v>534410</v>
      </c>
      <c r="H189" s="2" t="n">
        <v>109530</v>
      </c>
      <c r="I189" s="2" t="n">
        <v>96350</v>
      </c>
      <c r="J189" s="2" t="n">
        <v>186950000</v>
      </c>
      <c r="K189" s="2" t="n">
        <v>5390000</v>
      </c>
      <c r="L189" s="2" t="n">
        <v>95370</v>
      </c>
      <c r="M189" s="2" t="n">
        <v>450460</v>
      </c>
      <c r="N189" s="2" t="n"/>
      <c r="O189" s="2" t="n">
        <v>1450000</v>
      </c>
      <c r="P189" s="2" t="n">
        <v>1380000</v>
      </c>
      <c r="Q189" s="2" t="n">
        <v>13460</v>
      </c>
      <c r="R189" s="2" t="n">
        <v>288110</v>
      </c>
      <c r="S189" s="2" t="n">
        <v>773670</v>
      </c>
      <c r="T189" s="2" t="n">
        <v>311590</v>
      </c>
      <c r="U189" s="2" t="n">
        <v>3090000</v>
      </c>
      <c r="V189" s="2" t="n">
        <v>1340000</v>
      </c>
      <c r="W189" s="2" t="n">
        <v>413830</v>
      </c>
      <c r="X189" s="2" t="n">
        <v>173350</v>
      </c>
      <c r="Z189" s="2" t="n">
        <v>3300000</v>
      </c>
      <c r="AA189" s="2" t="n">
        <v>14050000</v>
      </c>
      <c r="AB189" s="2" t="n">
        <v>6820000</v>
      </c>
      <c r="AC189" s="2" t="n">
        <v>7880000</v>
      </c>
      <c r="AD189" s="2" t="n">
        <v>1010000</v>
      </c>
      <c r="AE189" s="2" t="n">
        <v>51790</v>
      </c>
      <c r="AF189" s="2" t="n">
        <v>470680</v>
      </c>
    </row>
    <row r="190" ht="16" customHeight="1">
      <c r="A190" s="2" t="inlineStr">
        <is>
          <t>10/23/2025</t>
        </is>
      </c>
      <c r="B190" s="2" t="n">
        <v>400170</v>
      </c>
      <c r="C190" s="2" t="n">
        <v>380850</v>
      </c>
      <c r="D190" s="2" t="n">
        <v>14530</v>
      </c>
      <c r="E190" s="2" t="n">
        <v>10660000</v>
      </c>
      <c r="F190" s="2" t="n">
        <v>166090</v>
      </c>
      <c r="G190" s="2" t="n">
        <v>481500</v>
      </c>
      <c r="H190" s="2" t="n">
        <v>88860</v>
      </c>
      <c r="I190" s="2" t="n">
        <v>105860</v>
      </c>
      <c r="J190" s="2" t="n">
        <v>159250000</v>
      </c>
      <c r="K190" s="2" t="n">
        <v>5090000</v>
      </c>
      <c r="L190" s="2" t="n">
        <v>138710</v>
      </c>
      <c r="M190" s="2" t="n">
        <v>425010</v>
      </c>
      <c r="N190" s="2" t="n"/>
      <c r="O190" s="2" t="n">
        <v>1350000</v>
      </c>
      <c r="P190" s="2" t="n">
        <v>1640000</v>
      </c>
      <c r="Q190" s="2" t="n">
        <v>29950</v>
      </c>
      <c r="R190" s="2" t="n">
        <v>383380</v>
      </c>
      <c r="S190" s="2" t="n">
        <v>928130</v>
      </c>
      <c r="T190" s="2" t="n">
        <v>180800</v>
      </c>
      <c r="U190" s="2" t="n">
        <v>2180000</v>
      </c>
      <c r="V190" s="2" t="n">
        <v>1380000</v>
      </c>
      <c r="W190" s="2" t="n">
        <v>346500</v>
      </c>
      <c r="X190" s="2" t="n">
        <v>171150</v>
      </c>
      <c r="Z190" s="2" t="n">
        <v>3360000</v>
      </c>
      <c r="AA190" s="2" t="n">
        <v>13650000</v>
      </c>
      <c r="AB190" s="2" t="n">
        <v>7990000</v>
      </c>
      <c r="AC190" s="2" t="n">
        <v>9080000</v>
      </c>
      <c r="AD190" s="2" t="n">
        <v>1010000</v>
      </c>
      <c r="AE190" s="2" t="n">
        <v>59440</v>
      </c>
      <c r="AF190" s="2" t="n">
        <v>518150</v>
      </c>
    </row>
    <row r="191" ht="16" customHeight="1">
      <c r="A191" s="2" t="inlineStr">
        <is>
          <t>10/22/2025</t>
        </is>
      </c>
      <c r="B191" s="2" t="n">
        <v>360960</v>
      </c>
      <c r="C191" s="2" t="n">
        <v>213390</v>
      </c>
      <c r="D191" s="2" t="n">
        <v>22920</v>
      </c>
      <c r="E191" s="2" t="n">
        <v>9090000</v>
      </c>
      <c r="F191" s="2" t="n">
        <v>139600</v>
      </c>
      <c r="G191" s="2" t="n">
        <v>560330</v>
      </c>
      <c r="H191" s="2" t="n">
        <v>128140</v>
      </c>
      <c r="I191" s="2" t="n">
        <v>57180</v>
      </c>
      <c r="J191" s="2" t="n">
        <v>210690000</v>
      </c>
      <c r="K191" s="2" t="n">
        <v>9860000</v>
      </c>
      <c r="L191" s="2" t="n">
        <v>108050</v>
      </c>
      <c r="M191" s="2" t="n">
        <v>469300</v>
      </c>
      <c r="N191" s="2" t="n"/>
      <c r="O191" s="2" t="n">
        <v>1320000</v>
      </c>
      <c r="P191" s="2" t="n">
        <v>1700000</v>
      </c>
      <c r="Q191" s="2" t="n">
        <v>16160</v>
      </c>
      <c r="R191" s="2" t="n">
        <v>473590</v>
      </c>
      <c r="S191" s="2" t="n">
        <v>690590</v>
      </c>
      <c r="T191" s="2" t="n">
        <v>40750</v>
      </c>
      <c r="U191" s="2" t="n">
        <v>2150000</v>
      </c>
      <c r="V191" s="2" t="n">
        <v>1020000</v>
      </c>
      <c r="W191" s="2" t="n">
        <v>396150</v>
      </c>
      <c r="X191" s="2" t="n">
        <v>109120</v>
      </c>
      <c r="Z191" s="2" t="n">
        <v>6230000</v>
      </c>
      <c r="AA191" s="2" t="n">
        <v>13640000</v>
      </c>
      <c r="AB191" s="2" t="n">
        <v>11170000</v>
      </c>
      <c r="AC191" s="2" t="n">
        <v>15130000</v>
      </c>
      <c r="AD191" s="2" t="n">
        <v>1410000</v>
      </c>
      <c r="AE191" s="2" t="n">
        <v>86970</v>
      </c>
      <c r="AF191" s="2" t="n">
        <v>633260</v>
      </c>
    </row>
    <row r="192" ht="16" customHeight="1">
      <c r="A192" s="2" t="inlineStr">
        <is>
          <t>10/21/2025</t>
        </is>
      </c>
      <c r="B192" s="2" t="n">
        <v>373550</v>
      </c>
      <c r="C192" s="2" t="n">
        <v>201410</v>
      </c>
      <c r="D192" s="2" t="n">
        <v>19470</v>
      </c>
      <c r="E192" s="2" t="n">
        <v>12060000</v>
      </c>
      <c r="F192" s="2" t="n">
        <v>233360</v>
      </c>
      <c r="G192" s="2" t="n">
        <v>373610</v>
      </c>
      <c r="H192" s="2" t="n">
        <v>82640</v>
      </c>
      <c r="I192" s="2" t="n">
        <v>136650</v>
      </c>
      <c r="J192" s="2" t="n">
        <v>255270000</v>
      </c>
      <c r="K192" s="2" t="n">
        <v>7020000</v>
      </c>
      <c r="L192" s="2" t="n">
        <v>88030</v>
      </c>
      <c r="M192" s="2" t="n">
        <v>325240</v>
      </c>
      <c r="N192" s="2" t="n"/>
      <c r="O192" s="2" t="n">
        <v>1230000</v>
      </c>
      <c r="P192" s="2" t="n">
        <v>1620000</v>
      </c>
      <c r="Q192" s="2" t="n">
        <v>31720</v>
      </c>
      <c r="R192" s="2" t="n">
        <v>635810</v>
      </c>
      <c r="S192" s="2" t="n">
        <v>879360</v>
      </c>
      <c r="T192" s="2" t="n">
        <v>231290</v>
      </c>
      <c r="U192" s="2" t="n">
        <v>3260000</v>
      </c>
      <c r="V192" s="2" t="n">
        <v>1130000</v>
      </c>
      <c r="W192" s="2" t="n">
        <v>529840</v>
      </c>
      <c r="X192" s="2" t="n">
        <v>93460</v>
      </c>
      <c r="Z192" s="2" t="n">
        <v>3030000</v>
      </c>
      <c r="AA192" s="2" t="n">
        <v>14780000</v>
      </c>
      <c r="AB192" s="2" t="n">
        <v>6200000</v>
      </c>
      <c r="AC192" s="2" t="n">
        <v>7900000</v>
      </c>
      <c r="AD192" s="2" t="n">
        <v>1070000</v>
      </c>
      <c r="AE192" s="2" t="n">
        <v>108220</v>
      </c>
      <c r="AF192" s="2" t="n">
        <v>640000</v>
      </c>
    </row>
    <row r="193" ht="16" customHeight="1">
      <c r="A193" s="2" t="inlineStr">
        <is>
          <t>10/20/2025</t>
        </is>
      </c>
      <c r="B193" s="2" t="n">
        <v>337450</v>
      </c>
      <c r="C193" s="2" t="n">
        <v>218690</v>
      </c>
      <c r="D193" s="2" t="n">
        <v>26060</v>
      </c>
      <c r="E193" s="2" t="n">
        <v>16130000</v>
      </c>
      <c r="F193" s="2" t="n">
        <v>222260</v>
      </c>
      <c r="G193" s="2" t="n">
        <v>600670</v>
      </c>
      <c r="H193" s="2" t="n">
        <v>165270</v>
      </c>
      <c r="I193" s="2" t="n">
        <v>182110</v>
      </c>
      <c r="J193" s="2" t="n">
        <v>186920000</v>
      </c>
      <c r="K193" s="2" t="n">
        <v>8620000</v>
      </c>
      <c r="L193" s="2" t="n">
        <v>200820</v>
      </c>
      <c r="M193" s="2" t="n">
        <v>577500</v>
      </c>
      <c r="N193" s="2" t="n"/>
      <c r="O193" s="2" t="n">
        <v>987530</v>
      </c>
      <c r="P193" s="2" t="n">
        <v>1820000</v>
      </c>
      <c r="Q193" s="2" t="n">
        <v>28580</v>
      </c>
      <c r="R193" s="2" t="n">
        <v>1400000</v>
      </c>
      <c r="S193" s="2" t="n">
        <v>696750</v>
      </c>
      <c r="T193" s="2" t="n">
        <v>60560</v>
      </c>
      <c r="U193" s="2" t="n">
        <v>2830000</v>
      </c>
      <c r="V193" s="2" t="n">
        <v>1360000</v>
      </c>
      <c r="W193" s="2" t="n">
        <v>486140</v>
      </c>
      <c r="X193" s="2" t="n">
        <v>44120</v>
      </c>
      <c r="Z193" s="2" t="n">
        <v>3740000</v>
      </c>
      <c r="AA193" s="2" t="n">
        <v>13370000</v>
      </c>
      <c r="AB193" s="2" t="n">
        <v>5710000</v>
      </c>
      <c r="AC193" s="2" t="n">
        <v>9680000</v>
      </c>
      <c r="AD193" s="2" t="n">
        <v>1150000</v>
      </c>
      <c r="AE193" s="2" t="n">
        <v>64940</v>
      </c>
      <c r="AF193" s="2" t="n">
        <v>549920</v>
      </c>
    </row>
    <row r="194" ht="16" customHeight="1">
      <c r="A194" s="2" t="inlineStr">
        <is>
          <t>10/19/2025</t>
        </is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>
        <v>106390000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Z194" s="2" t="n"/>
      <c r="AA194" s="2" t="n"/>
      <c r="AB194" s="2" t="n"/>
      <c r="AC194" s="2" t="n"/>
      <c r="AD194" s="2" t="n"/>
      <c r="AE194" s="2" t="n">
        <v>52650</v>
      </c>
      <c r="AF194" s="2" t="n">
        <v>463110</v>
      </c>
    </row>
    <row r="195" ht="16" customHeight="1">
      <c r="A195" s="2" t="inlineStr">
        <is>
          <t>10/18/2025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>
        <v>106210000</v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Z195" s="2" t="n"/>
      <c r="AA195" s="2" t="n"/>
      <c r="AB195" s="2" t="n"/>
      <c r="AC195" s="2" t="n"/>
      <c r="AD195" s="2" t="n"/>
      <c r="AE195" s="2" t="n">
        <v>40280</v>
      </c>
      <c r="AF195" s="2" t="n">
        <v>271110</v>
      </c>
    </row>
    <row r="196" ht="16" customHeight="1">
      <c r="A196" s="2" t="inlineStr">
        <is>
          <t>10/17/2025</t>
        </is>
      </c>
      <c r="B196" s="2" t="n">
        <v>347690</v>
      </c>
      <c r="C196" s="2" t="n">
        <v>238500</v>
      </c>
      <c r="D196" s="2" t="n">
        <v>16780</v>
      </c>
      <c r="E196" s="2" t="n">
        <v>14600000</v>
      </c>
      <c r="F196" s="2" t="n">
        <v>281320</v>
      </c>
      <c r="G196" s="2" t="n">
        <v>954690</v>
      </c>
      <c r="H196" s="2" t="n">
        <v>179300</v>
      </c>
      <c r="I196" s="2" t="n">
        <v>254150</v>
      </c>
      <c r="J196" s="2" t="n">
        <v>301650000</v>
      </c>
      <c r="K196" s="2" t="n">
        <v>7760000</v>
      </c>
      <c r="L196" s="2" t="n">
        <v>103340</v>
      </c>
      <c r="M196" s="2" t="n">
        <v>436690</v>
      </c>
      <c r="N196" s="2" t="n"/>
      <c r="O196" s="2" t="n">
        <v>1780000</v>
      </c>
      <c r="P196" s="2" t="n">
        <v>1090000</v>
      </c>
      <c r="Q196" s="2" t="n">
        <v>17190</v>
      </c>
      <c r="R196" s="2" t="n">
        <v>761630</v>
      </c>
      <c r="S196" s="2" t="n">
        <v>964720</v>
      </c>
      <c r="T196" s="2" t="n">
        <v>97870</v>
      </c>
      <c r="U196" s="2" t="n">
        <v>3730000</v>
      </c>
      <c r="V196" s="2" t="n">
        <v>2010000</v>
      </c>
      <c r="W196" s="2" t="n">
        <v>434300</v>
      </c>
      <c r="X196" s="2" t="n">
        <v>179310</v>
      </c>
      <c r="Z196" s="2" t="n">
        <v>5990000</v>
      </c>
      <c r="AA196" s="2" t="n">
        <v>14040000</v>
      </c>
      <c r="AB196" s="2" t="n">
        <v>17260000</v>
      </c>
      <c r="AC196" s="2" t="n">
        <v>13110000</v>
      </c>
      <c r="AD196" s="2" t="n">
        <v>1320000</v>
      </c>
      <c r="AE196" s="2" t="n">
        <v>106660</v>
      </c>
      <c r="AF196" s="2" t="n">
        <v>880380</v>
      </c>
    </row>
    <row r="197" ht="16" customHeight="1">
      <c r="A197" s="2" t="inlineStr">
        <is>
          <t>10/16/2025</t>
        </is>
      </c>
      <c r="B197" s="2" t="n">
        <v>352650</v>
      </c>
      <c r="C197" s="2" t="n">
        <v>211990</v>
      </c>
      <c r="D197" s="2" t="n">
        <v>19130</v>
      </c>
      <c r="E197" s="2" t="n">
        <v>12390000</v>
      </c>
      <c r="F197" s="2" t="n">
        <v>252760</v>
      </c>
      <c r="G197" s="2" t="n">
        <v>812980</v>
      </c>
      <c r="H197" s="2" t="n">
        <v>174940</v>
      </c>
      <c r="I197" s="2" t="n">
        <v>207030</v>
      </c>
      <c r="J197" s="2" t="n">
        <v>272430000</v>
      </c>
      <c r="K197" s="2" t="n">
        <v>14100000</v>
      </c>
      <c r="L197" s="2" t="n">
        <v>89910</v>
      </c>
      <c r="M197" s="2" t="n">
        <v>335920</v>
      </c>
      <c r="N197" s="2" t="n"/>
      <c r="O197" s="2" t="n">
        <v>1670000</v>
      </c>
      <c r="P197" s="2" t="n">
        <v>1440000</v>
      </c>
      <c r="Q197" s="2" t="n">
        <v>30600</v>
      </c>
      <c r="R197" s="2" t="n">
        <v>990560</v>
      </c>
      <c r="S197" s="2" t="n">
        <v>922810</v>
      </c>
      <c r="T197" s="2" t="n">
        <v>26350</v>
      </c>
      <c r="U197" s="2" t="n">
        <v>6120000</v>
      </c>
      <c r="V197" s="2" t="n">
        <v>2120000</v>
      </c>
      <c r="W197" s="2" t="n">
        <v>473430</v>
      </c>
      <c r="X197" s="2" t="n">
        <v>145070</v>
      </c>
      <c r="Z197" s="2" t="n">
        <v>6460000</v>
      </c>
      <c r="AA197" s="2" t="n">
        <v>18980000</v>
      </c>
      <c r="AB197" s="2" t="n">
        <v>19340000</v>
      </c>
      <c r="AC197" s="2" t="n">
        <v>13820000</v>
      </c>
      <c r="AD197" s="2" t="n">
        <v>1150000</v>
      </c>
      <c r="AE197" s="2" t="n">
        <v>92620</v>
      </c>
      <c r="AF197" s="2" t="n">
        <v>685680</v>
      </c>
    </row>
    <row r="198" ht="16" customHeight="1">
      <c r="A198" s="2" t="inlineStr">
        <is>
          <t>10/15/2025</t>
        </is>
      </c>
      <c r="B198" s="2" t="n">
        <v>335170</v>
      </c>
      <c r="C198" s="2" t="n">
        <v>251430</v>
      </c>
      <c r="D198" s="2" t="n">
        <v>44670</v>
      </c>
      <c r="E198" s="2" t="n">
        <v>11070000</v>
      </c>
      <c r="F198" s="2" t="n">
        <v>159740</v>
      </c>
      <c r="G198" s="2" t="n">
        <v>567960</v>
      </c>
      <c r="H198" s="2" t="n">
        <v>221450</v>
      </c>
      <c r="I198" s="2" t="n">
        <v>177680</v>
      </c>
      <c r="J198" s="2" t="n">
        <v>231920000</v>
      </c>
      <c r="K198" s="2" t="n">
        <v>9960000</v>
      </c>
      <c r="L198" s="2" t="n">
        <v>126810</v>
      </c>
      <c r="M198" s="2" t="n">
        <v>454660</v>
      </c>
      <c r="N198" s="2" t="n"/>
      <c r="O198" s="2" t="n">
        <v>2100000</v>
      </c>
      <c r="P198" s="2" t="n">
        <v>1210000</v>
      </c>
      <c r="Q198" s="2" t="n">
        <v>31830</v>
      </c>
      <c r="R198" s="2" t="n">
        <v>239040</v>
      </c>
      <c r="S198" s="2" t="n">
        <v>992970</v>
      </c>
      <c r="T198" s="2" t="n">
        <v>42220</v>
      </c>
      <c r="U198" s="2" t="n">
        <v>3850000</v>
      </c>
      <c r="V198" s="2" t="n">
        <v>2040000</v>
      </c>
      <c r="W198" s="2" t="n">
        <v>502770</v>
      </c>
      <c r="X198" s="2" t="n">
        <v>69330</v>
      </c>
      <c r="Z198" s="2" t="n">
        <v>5320000</v>
      </c>
      <c r="AA198" s="2" t="n">
        <v>15040000</v>
      </c>
      <c r="AB198" s="2" t="n">
        <v>9450000</v>
      </c>
      <c r="AC198" s="2" t="n">
        <v>10630000</v>
      </c>
      <c r="AD198" s="2" t="n">
        <v>1080000</v>
      </c>
      <c r="AE198" s="2" t="n">
        <v>72250</v>
      </c>
      <c r="AF198" s="2" t="n">
        <v>668990</v>
      </c>
    </row>
    <row r="199" ht="16" customHeight="1">
      <c r="A199" s="2" t="inlineStr">
        <is>
          <t>10/14/2025</t>
        </is>
      </c>
      <c r="B199" s="2" t="n">
        <v>337550</v>
      </c>
      <c r="C199" s="2" t="n">
        <v>233070</v>
      </c>
      <c r="D199" s="2" t="n">
        <v>42920</v>
      </c>
      <c r="E199" s="2" t="n">
        <v>13480000</v>
      </c>
      <c r="F199" s="2" t="n">
        <v>256530</v>
      </c>
      <c r="G199" s="2" t="n">
        <v>901130</v>
      </c>
      <c r="H199" s="2" t="n">
        <v>212940</v>
      </c>
      <c r="I199" s="2" t="n">
        <v>222940</v>
      </c>
      <c r="J199" s="2" t="n">
        <v>289270000</v>
      </c>
      <c r="K199" s="2" t="n">
        <v>7690000</v>
      </c>
      <c r="L199" s="2" t="n">
        <v>122830</v>
      </c>
      <c r="M199" s="2" t="n">
        <v>432400</v>
      </c>
      <c r="N199" s="2" t="n"/>
      <c r="O199" s="2" t="n">
        <v>1960000</v>
      </c>
      <c r="P199" s="2" t="n">
        <v>1390000</v>
      </c>
      <c r="Q199" s="2" t="n">
        <v>21350</v>
      </c>
      <c r="R199" s="2" t="n">
        <v>846170</v>
      </c>
      <c r="S199" s="2" t="n">
        <v>1070000</v>
      </c>
      <c r="T199" s="2" t="n">
        <v>384040</v>
      </c>
      <c r="U199" s="2" t="n">
        <v>5240000</v>
      </c>
      <c r="V199" s="2" t="n">
        <v>2540000</v>
      </c>
      <c r="W199" s="2" t="n">
        <v>502490</v>
      </c>
      <c r="X199" s="2" t="n">
        <v>172690</v>
      </c>
      <c r="Z199" s="2" t="n">
        <v>4750000</v>
      </c>
      <c r="AA199" s="2" t="n">
        <v>18740000</v>
      </c>
      <c r="AB199" s="2" t="n">
        <v>12230000</v>
      </c>
      <c r="AC199" s="2" t="n">
        <v>11480000</v>
      </c>
      <c r="AD199" s="2" t="n">
        <v>1100000</v>
      </c>
      <c r="AE199" s="2" t="n">
        <v>95330</v>
      </c>
      <c r="AF199" s="2" t="n">
        <v>1030000</v>
      </c>
    </row>
    <row r="200" ht="16" customHeight="1">
      <c r="A200" s="2" t="inlineStr">
        <is>
          <t>10/13/2025</t>
        </is>
      </c>
      <c r="B200" s="2" t="n">
        <v>369860</v>
      </c>
      <c r="C200" s="2" t="n">
        <v>262910</v>
      </c>
      <c r="D200" s="2" t="n">
        <v>30450</v>
      </c>
      <c r="E200" s="2" t="n">
        <v>14450000</v>
      </c>
      <c r="F200" s="2" t="n">
        <v>234920</v>
      </c>
      <c r="G200" s="2" t="n">
        <v>682400</v>
      </c>
      <c r="H200" s="2" t="n">
        <v>115370</v>
      </c>
      <c r="I200" s="2" t="n">
        <v>162800</v>
      </c>
      <c r="J200" s="2" t="n">
        <v>212900000</v>
      </c>
      <c r="K200" s="2" t="n">
        <v>6690000</v>
      </c>
      <c r="L200" s="2" t="n">
        <v>115970</v>
      </c>
      <c r="M200" s="2" t="n">
        <v>766050</v>
      </c>
      <c r="N200" s="2" t="n"/>
      <c r="O200" s="2" t="n">
        <v>1320000</v>
      </c>
      <c r="P200" s="2" t="n">
        <v>1050000</v>
      </c>
      <c r="Q200" s="2" t="n">
        <v>49300</v>
      </c>
      <c r="R200" s="2" t="n">
        <v>304010</v>
      </c>
      <c r="S200" s="2" t="n">
        <v>1290000</v>
      </c>
      <c r="T200" s="2" t="n">
        <v>114030</v>
      </c>
      <c r="U200" s="2" t="n">
        <v>7050000</v>
      </c>
      <c r="V200" s="2" t="n">
        <v>3530000</v>
      </c>
      <c r="W200" s="2" t="n">
        <v>710390</v>
      </c>
      <c r="X200" s="2" t="n">
        <v>131550</v>
      </c>
      <c r="Z200" s="2" t="n">
        <v>5620000</v>
      </c>
      <c r="AA200" s="2" t="n">
        <v>20630000</v>
      </c>
      <c r="AB200" s="2" t="n">
        <v>8760000</v>
      </c>
      <c r="AC200" s="2" t="n">
        <v>11580000</v>
      </c>
      <c r="AD200" s="2" t="n">
        <v>856500</v>
      </c>
      <c r="AE200" s="2" t="n">
        <v>71350</v>
      </c>
      <c r="AF200" s="2" t="n">
        <v>671550</v>
      </c>
    </row>
    <row r="201" ht="16" customHeight="1">
      <c r="A201" s="2" t="inlineStr">
        <is>
          <t>10/12/2025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>
        <v>283330000</v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Z201" s="2" t="n"/>
      <c r="AA201" s="2" t="n"/>
      <c r="AB201" s="2" t="n"/>
      <c r="AC201" s="2" t="n"/>
      <c r="AD201" s="2" t="n"/>
      <c r="AE201" s="2" t="n">
        <v>93160</v>
      </c>
      <c r="AF201" s="2" t="n">
        <v>867810</v>
      </c>
    </row>
    <row r="202" ht="16" customHeight="1">
      <c r="A202" s="2" t="inlineStr">
        <is>
          <t>10/11/2025</t>
        </is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>
        <v>504610000</v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Z202" s="2" t="n"/>
      <c r="AA202" s="2" t="n"/>
      <c r="AB202" s="2" t="n"/>
      <c r="AC202" s="2" t="n"/>
      <c r="AD202" s="2" t="n"/>
      <c r="AE202" s="2" t="n">
        <v>107250</v>
      </c>
      <c r="AF202" s="2" t="n">
        <v>851730</v>
      </c>
    </row>
    <row r="203" ht="16" customHeight="1">
      <c r="A203" s="2" t="inlineStr">
        <is>
          <t>10/10/2025</t>
        </is>
      </c>
      <c r="B203" s="2" t="n">
        <v>440750</v>
      </c>
      <c r="C203" s="2" t="n">
        <v>273140</v>
      </c>
      <c r="D203" s="2" t="n">
        <v>23200</v>
      </c>
      <c r="E203" s="2" t="n">
        <v>18970000</v>
      </c>
      <c r="F203" s="2" t="n">
        <v>255840</v>
      </c>
      <c r="G203" s="2" t="n">
        <v>1050000</v>
      </c>
      <c r="H203" s="2" t="n">
        <v>135860</v>
      </c>
      <c r="I203" s="2" t="n">
        <v>124920</v>
      </c>
      <c r="J203" s="2" t="n">
        <v>669320000</v>
      </c>
      <c r="K203" s="2" t="n">
        <v>6970000</v>
      </c>
      <c r="L203" s="2" t="n">
        <v>157400</v>
      </c>
      <c r="M203" s="2" t="n">
        <v>541340</v>
      </c>
      <c r="N203" s="2" t="n"/>
      <c r="O203" s="2" t="n">
        <v>1770000</v>
      </c>
      <c r="P203" s="2" t="n">
        <v>1830000</v>
      </c>
      <c r="Q203" s="2" t="n">
        <v>40720</v>
      </c>
      <c r="R203" s="2" t="n">
        <v>418370</v>
      </c>
      <c r="S203" s="2" t="n">
        <v>932910</v>
      </c>
      <c r="T203" s="2" t="n">
        <v>98590</v>
      </c>
      <c r="U203" s="2" t="n">
        <v>3590000</v>
      </c>
      <c r="V203" s="2" t="n">
        <v>2340000</v>
      </c>
      <c r="W203" s="2" t="n">
        <v>582880</v>
      </c>
      <c r="X203" s="2" t="n">
        <v>136810</v>
      </c>
      <c r="Z203" s="2" t="n">
        <v>10560000</v>
      </c>
      <c r="AA203" s="2" t="n">
        <v>24260000</v>
      </c>
      <c r="AB203" s="2" t="n">
        <v>19460000</v>
      </c>
      <c r="AC203" s="2" t="n">
        <v>13640000</v>
      </c>
      <c r="AD203" s="2" t="n">
        <v>1260000</v>
      </c>
      <c r="AE203" s="2" t="n">
        <v>153630</v>
      </c>
      <c r="AF203" s="2" t="n">
        <v>1600000</v>
      </c>
    </row>
    <row r="204" ht="16" customHeight="1">
      <c r="A204" s="2" t="inlineStr">
        <is>
          <t>10/09/2025</t>
        </is>
      </c>
      <c r="B204" s="2" t="n"/>
      <c r="C204" s="2" t="n"/>
      <c r="D204" s="2" t="n"/>
      <c r="E204" s="2" t="n">
        <v>15720000</v>
      </c>
      <c r="F204" s="2" t="n">
        <v>137730</v>
      </c>
      <c r="G204" s="2" t="n">
        <v>504710</v>
      </c>
      <c r="H204" s="2" t="n">
        <v>86750</v>
      </c>
      <c r="I204" s="2" t="n">
        <v>68570</v>
      </c>
      <c r="J204" s="2" t="n">
        <v>224620000</v>
      </c>
      <c r="K204" s="2" t="n"/>
      <c r="L204" s="2" t="n"/>
      <c r="M204" s="2" t="n"/>
      <c r="N204" s="2" t="n"/>
      <c r="O204" s="2" t="n">
        <v>1040000</v>
      </c>
      <c r="P204" s="2" t="n">
        <v>1180000</v>
      </c>
      <c r="Q204" s="2" t="n"/>
      <c r="R204" s="2" t="n"/>
      <c r="S204" s="2" t="n"/>
      <c r="T204" s="2" t="n"/>
      <c r="U204" s="2" t="n"/>
      <c r="V204" s="2" t="n"/>
      <c r="W204" s="2" t="n"/>
      <c r="X204" s="2" t="n"/>
      <c r="Z204" s="2" t="n">
        <v>4270000</v>
      </c>
      <c r="AA204" s="2" t="n">
        <v>19050000</v>
      </c>
      <c r="AB204" s="2" t="n">
        <v>5710000</v>
      </c>
      <c r="AC204" s="2" t="n">
        <v>11210000</v>
      </c>
      <c r="AD204" s="2" t="n">
        <v>704800</v>
      </c>
      <c r="AE204" s="2" t="n">
        <v>67350</v>
      </c>
      <c r="AF204" s="2" t="n">
        <v>566700</v>
      </c>
    </row>
    <row r="205" ht="16" customHeight="1">
      <c r="A205" s="2" t="inlineStr">
        <is>
          <t>10/08/2025</t>
        </is>
      </c>
      <c r="B205" s="2" t="n"/>
      <c r="C205" s="2" t="n"/>
      <c r="D205" s="2" t="n"/>
      <c r="E205" s="2" t="n">
        <v>16810000</v>
      </c>
      <c r="F205" s="2" t="n">
        <v>133020</v>
      </c>
      <c r="G205" s="2" t="n">
        <v>417330</v>
      </c>
      <c r="H205" s="2" t="n">
        <v>73820</v>
      </c>
      <c r="I205" s="2" t="n">
        <v>118690</v>
      </c>
      <c r="J205" s="2" t="n">
        <v>161350000</v>
      </c>
      <c r="K205" s="2" t="n"/>
      <c r="L205" s="2" t="n"/>
      <c r="M205" s="2" t="n"/>
      <c r="N205" s="2" t="n"/>
      <c r="O205" s="2" t="n">
        <v>1490000</v>
      </c>
      <c r="P205" s="2" t="n">
        <v>1180000</v>
      </c>
      <c r="Q205" s="2" t="n"/>
      <c r="R205" s="2" t="n"/>
      <c r="S205" s="2" t="n"/>
      <c r="T205" s="2" t="n"/>
      <c r="U205" s="2" t="n"/>
      <c r="V205" s="2" t="n"/>
      <c r="W205" s="2" t="n"/>
      <c r="X205" s="2" t="n"/>
      <c r="Z205" s="2" t="n">
        <v>3290000</v>
      </c>
      <c r="AA205" s="2" t="n">
        <v>15900000</v>
      </c>
      <c r="AB205" s="2" t="n">
        <v>5220000</v>
      </c>
      <c r="AC205" s="2" t="n">
        <v>13000000</v>
      </c>
      <c r="AD205" s="2" t="n">
        <v>743040</v>
      </c>
      <c r="AE205" s="2" t="n">
        <v>57670</v>
      </c>
      <c r="AF205" s="2" t="n">
        <v>448530</v>
      </c>
    </row>
    <row r="206" ht="16" customHeight="1">
      <c r="A206" s="2" t="inlineStr">
        <is>
          <t>10/07/2025</t>
        </is>
      </c>
      <c r="B206" s="2" t="n"/>
      <c r="C206" s="2" t="n"/>
      <c r="D206" s="2" t="n"/>
      <c r="E206" s="2" t="n">
        <v>14290000</v>
      </c>
      <c r="F206" s="2" t="n">
        <v>168930</v>
      </c>
      <c r="G206" s="2" t="n">
        <v>609940</v>
      </c>
      <c r="H206" s="2" t="n">
        <v>188000</v>
      </c>
      <c r="I206" s="2" t="n">
        <v>208620</v>
      </c>
      <c r="J206" s="2" t="n">
        <v>229400000</v>
      </c>
      <c r="K206" s="2" t="n"/>
      <c r="L206" s="2" t="n"/>
      <c r="M206" s="2" t="n"/>
      <c r="N206" s="2" t="n"/>
      <c r="O206" s="2" t="n">
        <v>1320000</v>
      </c>
      <c r="P206" s="2" t="n">
        <v>3910000</v>
      </c>
      <c r="Q206" s="2" t="n"/>
      <c r="R206" s="2" t="n"/>
      <c r="S206" s="2" t="n"/>
      <c r="T206" s="2" t="n"/>
      <c r="U206" s="2" t="n"/>
      <c r="V206" s="2" t="n"/>
      <c r="W206" s="2" t="n"/>
      <c r="X206" s="2" t="n"/>
      <c r="Z206" s="2" t="n">
        <v>3510000</v>
      </c>
      <c r="AA206" s="2" t="n">
        <v>17220000</v>
      </c>
      <c r="AB206" s="2" t="n">
        <v>18300000</v>
      </c>
      <c r="AC206" s="2" t="n">
        <v>19580000</v>
      </c>
      <c r="AD206" s="2" t="n">
        <v>831020</v>
      </c>
      <c r="AE206" s="2" t="n">
        <v>70420</v>
      </c>
      <c r="AF206" s="2" t="n">
        <v>693740</v>
      </c>
    </row>
    <row r="207" ht="16" customHeight="1">
      <c r="A207" s="2" t="inlineStr">
        <is>
          <t>10/06/2025</t>
        </is>
      </c>
      <c r="B207" s="2" t="n">
        <v>424190</v>
      </c>
      <c r="C207" s="2" t="n">
        <v>202530</v>
      </c>
      <c r="D207" s="2" t="n">
        <v>21520</v>
      </c>
      <c r="E207" s="2" t="n">
        <v>13940000</v>
      </c>
      <c r="F207" s="2" t="n">
        <v>255280</v>
      </c>
      <c r="G207" s="2" t="n">
        <v>856740</v>
      </c>
      <c r="H207" s="2" t="n">
        <v>227320</v>
      </c>
      <c r="I207" s="2" t="n">
        <v>230980</v>
      </c>
      <c r="J207" s="2" t="n">
        <v>145870000</v>
      </c>
      <c r="K207" s="2" t="n">
        <v>6690000</v>
      </c>
      <c r="L207" s="2" t="n">
        <v>81390</v>
      </c>
      <c r="M207" s="2" t="n">
        <v>348800</v>
      </c>
      <c r="N207" s="2" t="n"/>
      <c r="O207" s="2" t="n">
        <v>1760000</v>
      </c>
      <c r="P207" s="2" t="n">
        <v>1450000</v>
      </c>
      <c r="Q207" s="2" t="n">
        <v>47370</v>
      </c>
      <c r="R207" s="2" t="n">
        <v>1770000</v>
      </c>
      <c r="S207" s="2" t="n">
        <v>864680</v>
      </c>
      <c r="T207" s="2" t="n">
        <v>146610</v>
      </c>
      <c r="U207" s="2" t="n">
        <v>3440000</v>
      </c>
      <c r="V207" s="2" t="n">
        <v>4100000</v>
      </c>
      <c r="W207" s="2" t="n">
        <v>324450</v>
      </c>
      <c r="X207" s="2" t="n">
        <v>127080</v>
      </c>
      <c r="Z207" s="2" t="n">
        <v>3050000</v>
      </c>
      <c r="AA207" s="2" t="n">
        <v>16320000</v>
      </c>
      <c r="AB207" s="2" t="n">
        <v>5960000</v>
      </c>
      <c r="AC207" s="2" t="n">
        <v>9550000</v>
      </c>
      <c r="AD207" s="2" t="n">
        <v>910230</v>
      </c>
      <c r="AE207" s="2" t="n">
        <v>68950</v>
      </c>
      <c r="AF207" s="2" t="n">
        <v>515679.9999999999</v>
      </c>
    </row>
    <row r="208" ht="16" customHeight="1">
      <c r="A208" s="2" t="inlineStr">
        <is>
          <t>10/05/2025</t>
        </is>
      </c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>
        <v>147880000</v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Z208" s="2" t="n"/>
      <c r="AA208" s="2" t="n"/>
      <c r="AB208" s="2" t="n"/>
      <c r="AC208" s="2" t="n"/>
      <c r="AD208" s="2" t="n"/>
      <c r="AE208" s="2" t="n">
        <v>66030</v>
      </c>
      <c r="AF208" s="2" t="n">
        <v>546840</v>
      </c>
    </row>
    <row r="209" ht="16" customHeight="1">
      <c r="A209" s="2" t="inlineStr">
        <is>
          <t>10/04/2025</t>
        </is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>
        <v>134360000</v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Z209" s="2" t="n"/>
      <c r="AA209" s="2" t="n"/>
      <c r="AB209" s="2" t="n"/>
      <c r="AC209" s="2" t="n"/>
      <c r="AD209" s="2" t="n"/>
      <c r="AE209" s="2" t="n">
        <v>31340</v>
      </c>
      <c r="AF209" s="2" t="n">
        <v>225290</v>
      </c>
    </row>
    <row r="210" ht="16" customHeight="1">
      <c r="A210" s="2" t="inlineStr">
        <is>
          <t>10/03/2025</t>
        </is>
      </c>
      <c r="B210" s="2" t="n"/>
      <c r="C210" s="2" t="n"/>
      <c r="D210" s="2" t="n"/>
      <c r="E210" s="2" t="n">
        <v>13840000</v>
      </c>
      <c r="F210" s="2" t="n">
        <v>150770</v>
      </c>
      <c r="G210" s="2" t="n">
        <v>763730</v>
      </c>
      <c r="H210" s="2" t="n">
        <v>155610</v>
      </c>
      <c r="I210" s="2" t="n">
        <v>129350</v>
      </c>
      <c r="J210" s="2" t="n">
        <v>148520000</v>
      </c>
      <c r="K210" s="2" t="n"/>
      <c r="L210" s="2" t="n"/>
      <c r="M210" s="2" t="n"/>
      <c r="N210" s="2" t="n"/>
      <c r="O210" s="2" t="n">
        <v>1750000</v>
      </c>
      <c r="P210" s="2" t="n">
        <v>2920000</v>
      </c>
      <c r="Q210" s="2" t="n"/>
      <c r="R210" s="2" t="n"/>
      <c r="S210" s="2" t="n"/>
      <c r="T210" s="2" t="n"/>
      <c r="U210" s="2" t="n"/>
      <c r="V210" s="2" t="n"/>
      <c r="W210" s="2" t="n"/>
      <c r="X210" s="2" t="n"/>
      <c r="Z210" s="2" t="n">
        <v>3270000</v>
      </c>
      <c r="AA210" s="2" t="n">
        <v>15310000</v>
      </c>
      <c r="AB210" s="2" t="n">
        <v>9130000</v>
      </c>
      <c r="AC210" s="2" t="n">
        <v>12110000</v>
      </c>
      <c r="AD210" s="2" t="n">
        <v>788640</v>
      </c>
      <c r="AE210" s="2" t="n">
        <v>81430</v>
      </c>
      <c r="AF210" s="2" t="n">
        <v>576940</v>
      </c>
    </row>
    <row r="211" ht="16" customHeight="1">
      <c r="A211" s="2" t="inlineStr">
        <is>
          <t>10/02/2025</t>
        </is>
      </c>
      <c r="B211" s="2" t="n">
        <v>424190</v>
      </c>
      <c r="C211" s="2" t="n">
        <v>202530</v>
      </c>
      <c r="D211" s="2" t="n">
        <v>21520</v>
      </c>
      <c r="E211" s="2" t="n">
        <v>12870000</v>
      </c>
      <c r="F211" s="2" t="n">
        <v>161990</v>
      </c>
      <c r="G211" s="2" t="n">
        <v>989580</v>
      </c>
      <c r="H211" s="2" t="n">
        <v>114770</v>
      </c>
      <c r="I211" s="2" t="n">
        <v>123880</v>
      </c>
      <c r="J211" s="2" t="n">
        <v>217440000</v>
      </c>
      <c r="K211" s="2" t="n">
        <v>6690000</v>
      </c>
      <c r="L211" s="2" t="n">
        <v>81390</v>
      </c>
      <c r="M211" s="2" t="n">
        <v>348800</v>
      </c>
      <c r="N211" s="2" t="n"/>
      <c r="O211" s="2" t="n">
        <v>1430000</v>
      </c>
      <c r="P211" s="2" t="n">
        <v>2010000</v>
      </c>
      <c r="Q211" s="2" t="n">
        <v>47370</v>
      </c>
      <c r="R211" s="2" t="n">
        <v>1770000</v>
      </c>
      <c r="S211" s="2" t="n">
        <v>864680</v>
      </c>
      <c r="T211" s="2" t="n">
        <v>146610</v>
      </c>
      <c r="U211" s="2" t="n">
        <v>3440000</v>
      </c>
      <c r="V211" s="2" t="n">
        <v>4100000</v>
      </c>
      <c r="W211" s="2" t="n">
        <v>324450</v>
      </c>
      <c r="X211" s="2" t="n">
        <v>127080</v>
      </c>
      <c r="Z211" s="2" t="n">
        <v>2760000</v>
      </c>
      <c r="AA211" s="2" t="n">
        <v>15690000</v>
      </c>
      <c r="AB211" s="2" t="n">
        <v>11040000</v>
      </c>
      <c r="AC211" s="2" t="n">
        <v>13670000</v>
      </c>
      <c r="AD211" s="2" t="n">
        <v>706070</v>
      </c>
      <c r="AE211" s="2" t="n">
        <v>69080</v>
      </c>
      <c r="AF211" s="2" t="n">
        <v>563150</v>
      </c>
    </row>
    <row r="212" ht="16" customHeight="1">
      <c r="A212" s="2" t="inlineStr">
        <is>
          <t>10/01/2025</t>
        </is>
      </c>
      <c r="B212" s="2" t="n">
        <v>665880</v>
      </c>
      <c r="C212" s="2" t="n">
        <v>233340</v>
      </c>
      <c r="D212" s="2" t="n">
        <v>22650</v>
      </c>
      <c r="E212" s="2" t="n">
        <v>26610000</v>
      </c>
      <c r="F212" s="2" t="n">
        <v>167760</v>
      </c>
      <c r="G212" s="2" t="n">
        <v>620610</v>
      </c>
      <c r="H212" s="2" t="n">
        <v>218230</v>
      </c>
      <c r="I212" s="2" t="n">
        <v>137540</v>
      </c>
      <c r="J212" s="2" t="n">
        <v>211160000</v>
      </c>
      <c r="K212" s="2" t="n">
        <v>12140000</v>
      </c>
      <c r="L212" s="2" t="n">
        <v>70410</v>
      </c>
      <c r="M212" s="2" t="n">
        <v>396880</v>
      </c>
      <c r="N212" s="2" t="n"/>
      <c r="O212" s="2" t="n">
        <v>2410000</v>
      </c>
      <c r="P212" s="2" t="n">
        <v>2150000</v>
      </c>
      <c r="Q212" s="2" t="n">
        <v>16430</v>
      </c>
      <c r="R212" s="2" t="n">
        <v>233570</v>
      </c>
      <c r="S212" s="2" t="n">
        <v>811550</v>
      </c>
      <c r="T212" s="2" t="n">
        <v>40880</v>
      </c>
      <c r="U212" s="2" t="n">
        <v>2280000</v>
      </c>
      <c r="V212" s="2" t="n">
        <v>1670000</v>
      </c>
      <c r="W212" s="2" t="n">
        <v>366050</v>
      </c>
      <c r="X212" s="2" t="n">
        <v>102330</v>
      </c>
      <c r="Z212" s="2" t="n">
        <v>3740000</v>
      </c>
      <c r="AA212" s="2" t="n">
        <v>18620000</v>
      </c>
      <c r="AB212" s="2" t="n">
        <v>11770000</v>
      </c>
      <c r="AC212" s="2" t="n">
        <v>13990000</v>
      </c>
      <c r="AD212" s="2" t="n">
        <v>1180000</v>
      </c>
      <c r="AE212" s="2" t="n">
        <v>69150</v>
      </c>
      <c r="AF212" s="2" t="n">
        <v>548550</v>
      </c>
    </row>
    <row r="213" ht="16" customHeight="1">
      <c r="A213" s="2" t="inlineStr">
        <is>
          <t>09/30/2025</t>
        </is>
      </c>
      <c r="B213" s="2" t="n">
        <v>32930</v>
      </c>
      <c r="C213" s="2" t="n">
        <v>302850</v>
      </c>
      <c r="D213" s="2" t="n">
        <v>23370</v>
      </c>
      <c r="E213" s="2" t="n">
        <v>22910000</v>
      </c>
      <c r="F213" s="2" t="n">
        <v>269120</v>
      </c>
      <c r="G213" s="2" t="n">
        <v>423090</v>
      </c>
      <c r="H213" s="2" t="n">
        <v>132840</v>
      </c>
      <c r="I213" s="2" t="n">
        <v>149080</v>
      </c>
      <c r="J213" s="2" t="n">
        <v>139730000</v>
      </c>
      <c r="K213" s="2" t="n">
        <v>6660000</v>
      </c>
      <c r="L213" s="2" t="n">
        <v>41410</v>
      </c>
      <c r="M213" s="2" t="n">
        <v>970470</v>
      </c>
      <c r="N213" s="2" t="n"/>
      <c r="O213" s="2" t="n">
        <v>2220000</v>
      </c>
      <c r="P213" s="2" t="n">
        <v>2240000</v>
      </c>
      <c r="Q213" s="2" t="n">
        <v>11530</v>
      </c>
      <c r="R213" s="2" t="n">
        <v>384850</v>
      </c>
      <c r="S213" s="2" t="n">
        <v>353240</v>
      </c>
      <c r="T213" s="2" t="n">
        <v>42160</v>
      </c>
      <c r="U213" s="2" t="n">
        <v>3360000</v>
      </c>
      <c r="V213" s="2" t="n">
        <v>930200</v>
      </c>
      <c r="W213" s="2" t="n">
        <v>354770</v>
      </c>
      <c r="X213" s="2" t="n">
        <v>79810</v>
      </c>
      <c r="Z213" s="2" t="n">
        <v>4060000</v>
      </c>
      <c r="AA213" s="2" t="n">
        <v>18120000</v>
      </c>
      <c r="AB213" s="2" t="n">
        <v>6090000</v>
      </c>
      <c r="AC213" s="2" t="n">
        <v>7800000</v>
      </c>
      <c r="AD213" s="2" t="n">
        <v>1110000</v>
      </c>
      <c r="AE213" s="2" t="n">
        <v>53070</v>
      </c>
      <c r="AF213" s="2" t="n">
        <v>425740</v>
      </c>
    </row>
    <row r="214" ht="16" customHeight="1">
      <c r="A214" s="2" t="inlineStr">
        <is>
          <t>09/29/2025</t>
        </is>
      </c>
      <c r="B214" s="2" t="n">
        <v>31060</v>
      </c>
      <c r="C214" s="2" t="n">
        <v>289410</v>
      </c>
      <c r="D214" s="2" t="n">
        <v>25610</v>
      </c>
      <c r="E214" s="2" t="n">
        <v>13580000</v>
      </c>
      <c r="F214" s="2" t="n">
        <v>175800</v>
      </c>
      <c r="G214" s="2" t="n">
        <v>277420</v>
      </c>
      <c r="H214" s="2" t="n">
        <v>153880</v>
      </c>
      <c r="I214" s="2" t="n">
        <v>122840</v>
      </c>
      <c r="J214" s="2" t="n">
        <v>263170000</v>
      </c>
      <c r="K214" s="2" t="n">
        <v>4490000</v>
      </c>
      <c r="L214" s="2" t="n">
        <v>65150.00000000001</v>
      </c>
      <c r="M214" s="2" t="n">
        <v>336180</v>
      </c>
      <c r="N214" s="2" t="n"/>
      <c r="O214" s="2" t="n">
        <v>1050000</v>
      </c>
      <c r="P214" s="2" t="n">
        <v>1440000</v>
      </c>
      <c r="Q214" s="2" t="n">
        <v>21550</v>
      </c>
      <c r="R214" s="2" t="n">
        <v>636590</v>
      </c>
      <c r="S214" s="2" t="n">
        <v>960080</v>
      </c>
      <c r="T214" s="2" t="n">
        <v>26710</v>
      </c>
      <c r="U214" s="2" t="n">
        <v>2650000</v>
      </c>
      <c r="V214" s="2" t="n">
        <v>2460000</v>
      </c>
      <c r="W214" s="2" t="n">
        <v>336350</v>
      </c>
      <c r="X214" s="2" t="n">
        <v>82280</v>
      </c>
      <c r="Z214" s="2" t="n">
        <v>3760000</v>
      </c>
      <c r="AA214" s="2" t="n">
        <v>25830000</v>
      </c>
      <c r="AB214" s="2" t="n">
        <v>6600000</v>
      </c>
      <c r="AC214" s="2" t="n">
        <v>12650000</v>
      </c>
      <c r="AD214" s="2" t="n">
        <v>956110</v>
      </c>
      <c r="AE214" s="2" t="n">
        <v>55530</v>
      </c>
      <c r="AF214" s="2" t="n">
        <v>410790</v>
      </c>
    </row>
    <row r="215" ht="16" customHeight="1">
      <c r="A215" s="2" t="inlineStr">
        <is>
          <t>09/28/2025</t>
        </is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>
        <v>97670000</v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Z215" s="2" t="n"/>
      <c r="AA215" s="2" t="n"/>
      <c r="AB215" s="2" t="n"/>
      <c r="AC215" s="2" t="n"/>
      <c r="AD215" s="2" t="n"/>
      <c r="AE215" s="2" t="n">
        <v>28910</v>
      </c>
      <c r="AF215" s="2" t="n">
        <v>259400</v>
      </c>
    </row>
    <row r="216" ht="16" customHeight="1">
      <c r="A216" s="2" t="inlineStr">
        <is>
          <t>09/27/2025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>
        <v>96200000</v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Z216" s="2" t="n"/>
      <c r="AA216" s="2" t="n"/>
      <c r="AB216" s="2" t="n"/>
      <c r="AC216" s="2" t="n"/>
      <c r="AD216" s="2" t="n"/>
      <c r="AE216" s="2" t="n">
        <v>22460</v>
      </c>
      <c r="AF216" s="2" t="n">
        <v>192820</v>
      </c>
    </row>
    <row r="217" ht="16" customHeight="1">
      <c r="A217" s="2" t="inlineStr">
        <is>
          <t>09/26/2025</t>
        </is>
      </c>
      <c r="B217" s="2" t="n">
        <v>48440</v>
      </c>
      <c r="C217" s="2" t="n">
        <v>335400</v>
      </c>
      <c r="D217" s="2" t="n">
        <v>29060</v>
      </c>
      <c r="E217" s="2" t="n">
        <v>10690000</v>
      </c>
      <c r="F217" s="2" t="n">
        <v>485620</v>
      </c>
      <c r="G217" s="2" t="n">
        <v>306830</v>
      </c>
      <c r="H217" s="2" t="n">
        <v>100690</v>
      </c>
      <c r="I217" s="2" t="n">
        <v>79190</v>
      </c>
      <c r="J217" s="2" t="n">
        <v>292850000</v>
      </c>
      <c r="K217" s="2" t="n">
        <v>4230000</v>
      </c>
      <c r="L217" s="2" t="n">
        <v>62480</v>
      </c>
      <c r="M217" s="2" t="n">
        <v>379600</v>
      </c>
      <c r="N217" s="2" t="n"/>
      <c r="O217" s="2" t="n">
        <v>1810000</v>
      </c>
      <c r="P217" s="2" t="n">
        <v>1790000</v>
      </c>
      <c r="Q217" s="2" t="n">
        <v>66210</v>
      </c>
      <c r="R217" s="2" t="n">
        <v>748470</v>
      </c>
      <c r="S217" s="2" t="n">
        <v>844730</v>
      </c>
      <c r="T217" s="2" t="n">
        <v>188970</v>
      </c>
      <c r="U217" s="2" t="n">
        <v>2470000</v>
      </c>
      <c r="V217" s="2" t="n">
        <v>1240000</v>
      </c>
      <c r="W217" s="2" t="n">
        <v>318540</v>
      </c>
      <c r="X217" s="2" t="n">
        <v>205850</v>
      </c>
      <c r="Z217" s="2" t="n">
        <v>3600000</v>
      </c>
      <c r="AA217" s="2" t="n">
        <v>16480000</v>
      </c>
      <c r="AB217" s="2" t="n">
        <v>7540000</v>
      </c>
      <c r="AC217" s="2" t="n">
        <v>11690000</v>
      </c>
      <c r="AD217" s="2" t="n">
        <v>662620</v>
      </c>
      <c r="AE217" s="2" t="n">
        <v>54260</v>
      </c>
      <c r="AF217" s="2" t="n">
        <v>624400</v>
      </c>
    </row>
    <row r="218" ht="16" customHeight="1">
      <c r="A218" s="2" t="inlineStr">
        <is>
          <t>09/25/2025</t>
        </is>
      </c>
      <c r="B218" s="2" t="n">
        <v>61400</v>
      </c>
      <c r="C218" s="2" t="n">
        <v>295380</v>
      </c>
      <c r="D218" s="2" t="n">
        <v>25410</v>
      </c>
      <c r="E218" s="2" t="n">
        <v>10550000</v>
      </c>
      <c r="F218" s="2" t="n">
        <v>373640</v>
      </c>
      <c r="G218" s="2" t="n">
        <v>533130</v>
      </c>
      <c r="H218" s="2" t="n">
        <v>106990</v>
      </c>
      <c r="I218" s="2" t="n">
        <v>149490</v>
      </c>
      <c r="J218" s="2" t="n">
        <v>350390000</v>
      </c>
      <c r="K218" s="2" t="n">
        <v>2890000</v>
      </c>
      <c r="L218" s="2" t="n">
        <v>66840</v>
      </c>
      <c r="M218" s="2" t="n">
        <v>270830</v>
      </c>
      <c r="N218" s="2" t="n"/>
      <c r="O218" s="2" t="n">
        <v>1260000</v>
      </c>
      <c r="P218" s="2" t="n">
        <v>1330000</v>
      </c>
      <c r="Q218" s="2" t="n">
        <v>12450</v>
      </c>
      <c r="R218" s="2" t="n">
        <v>275370</v>
      </c>
      <c r="S218" s="2" t="n">
        <v>514610</v>
      </c>
      <c r="T218" s="2" t="n">
        <v>18800</v>
      </c>
      <c r="U218" s="2" t="n">
        <v>2680000</v>
      </c>
      <c r="V218" s="2" t="n">
        <v>1360000</v>
      </c>
      <c r="W218" s="2" t="n">
        <v>308390</v>
      </c>
      <c r="X218" s="2" t="n">
        <v>117810</v>
      </c>
      <c r="Z218" s="2" t="n">
        <v>4240000</v>
      </c>
      <c r="AA218" s="2" t="n">
        <v>20340000</v>
      </c>
      <c r="AB218" s="2" t="n">
        <v>6970000</v>
      </c>
      <c r="AC218" s="2" t="n">
        <v>22090000</v>
      </c>
      <c r="AD218" s="2" t="n">
        <v>771970</v>
      </c>
      <c r="AE218" s="2" t="n">
        <v>69140</v>
      </c>
      <c r="AF218" s="2" t="n">
        <v>1050000</v>
      </c>
    </row>
    <row r="219" ht="16" customHeight="1">
      <c r="A219" s="2" t="inlineStr">
        <is>
          <t>09/24/2025</t>
        </is>
      </c>
      <c r="B219" s="2" t="n">
        <v>363030</v>
      </c>
      <c r="C219" s="2" t="n">
        <v>341460</v>
      </c>
      <c r="D219" s="2" t="n">
        <v>22470</v>
      </c>
      <c r="E219" s="2" t="n">
        <v>10110000</v>
      </c>
      <c r="F219" s="2" t="n">
        <v>146730</v>
      </c>
      <c r="G219" s="2" t="n">
        <v>134630</v>
      </c>
      <c r="H219" s="2" t="n">
        <v>75920</v>
      </c>
      <c r="I219" s="2" t="n">
        <v>60370</v>
      </c>
      <c r="J219" s="2" t="n">
        <v>168600000</v>
      </c>
      <c r="K219" s="2" t="n">
        <v>3860000</v>
      </c>
      <c r="L219" s="2" t="n">
        <v>90860</v>
      </c>
      <c r="M219" s="2" t="n">
        <v>335650</v>
      </c>
      <c r="N219" s="2" t="n"/>
      <c r="O219" s="2" t="n">
        <v>882800</v>
      </c>
      <c r="P219" s="2" t="n">
        <v>1110000</v>
      </c>
      <c r="Q219" s="2" t="n">
        <v>19460</v>
      </c>
      <c r="R219" s="2" t="n">
        <v>896570</v>
      </c>
      <c r="S219" s="2" t="n">
        <v>572910</v>
      </c>
      <c r="T219" s="2" t="n">
        <v>20610</v>
      </c>
      <c r="U219" s="2" t="n">
        <v>2410000</v>
      </c>
      <c r="V219" s="2" t="n">
        <v>1290000</v>
      </c>
      <c r="W219" s="2" t="n">
        <v>305780</v>
      </c>
      <c r="X219" s="2" t="n">
        <v>150870</v>
      </c>
      <c r="Z219" s="2" t="n">
        <v>4090000</v>
      </c>
      <c r="AA219" s="2" t="n">
        <v>19470000</v>
      </c>
      <c r="AB219" s="2" t="n">
        <v>18820000</v>
      </c>
      <c r="AC219" s="2" t="n">
        <v>9150000</v>
      </c>
      <c r="AD219" s="2" t="n">
        <v>714820</v>
      </c>
      <c r="AE219" s="2" t="n">
        <v>43290</v>
      </c>
      <c r="AF219" s="2" t="n">
        <v>388340</v>
      </c>
    </row>
    <row r="220" ht="16" customHeight="1">
      <c r="A220" s="2" t="inlineStr">
        <is>
          <t>09/23/2025</t>
        </is>
      </c>
      <c r="B220" s="2" t="n">
        <v>350190</v>
      </c>
      <c r="C220" s="2" t="n">
        <v>220600</v>
      </c>
      <c r="D220" s="2" t="n">
        <v>17890</v>
      </c>
      <c r="E220" s="2" t="n">
        <v>11190000</v>
      </c>
      <c r="F220" s="2" t="n">
        <v>204880</v>
      </c>
      <c r="G220" s="2" t="n">
        <v>214290</v>
      </c>
      <c r="H220" s="2" t="n">
        <v>116570</v>
      </c>
      <c r="I220" s="2" t="n">
        <v>73870</v>
      </c>
      <c r="J220" s="2" t="n">
        <v>158970000</v>
      </c>
      <c r="K220" s="2" t="n">
        <v>2510000</v>
      </c>
      <c r="L220" s="2" t="n">
        <v>72090</v>
      </c>
      <c r="M220" s="2" t="n">
        <v>273680</v>
      </c>
      <c r="N220" s="2" t="n"/>
      <c r="O220" s="2" t="n">
        <v>1670000</v>
      </c>
      <c r="P220" s="2" t="n">
        <v>1210000</v>
      </c>
      <c r="Q220" s="2" t="n">
        <v>27450</v>
      </c>
      <c r="R220" s="2" t="n">
        <v>575850</v>
      </c>
      <c r="S220" s="2" t="n">
        <v>841300</v>
      </c>
      <c r="T220" s="2" t="n">
        <v>21790</v>
      </c>
      <c r="U220" s="2" t="n">
        <v>5560000</v>
      </c>
      <c r="V220" s="2" t="n">
        <v>1260000</v>
      </c>
      <c r="W220" s="2" t="n">
        <v>381990</v>
      </c>
      <c r="X220" s="2" t="n">
        <v>241200</v>
      </c>
      <c r="Z220" s="2" t="n">
        <v>4310000</v>
      </c>
      <c r="AA220" s="2" t="n">
        <v>16860000</v>
      </c>
      <c r="AB220" s="2" t="n">
        <v>13250000</v>
      </c>
      <c r="AC220" s="2" t="n">
        <v>9470000</v>
      </c>
      <c r="AD220" s="2" t="n">
        <v>789960</v>
      </c>
      <c r="AE220" s="2" t="n">
        <v>44210</v>
      </c>
      <c r="AF220" s="2" t="n">
        <v>358410</v>
      </c>
    </row>
    <row r="221" ht="16" customHeight="1">
      <c r="A221" s="2" t="inlineStr">
        <is>
          <t>09/22/2025</t>
        </is>
      </c>
      <c r="B221" s="2" t="n">
        <v>337630</v>
      </c>
      <c r="C221" s="2" t="n">
        <v>199910</v>
      </c>
      <c r="D221" s="2" t="n">
        <v>17560</v>
      </c>
      <c r="E221" s="2" t="n">
        <v>12280000</v>
      </c>
      <c r="F221" s="2" t="n">
        <v>157740</v>
      </c>
      <c r="G221" s="2" t="n">
        <v>231880</v>
      </c>
      <c r="H221" s="2" t="n">
        <v>310630</v>
      </c>
      <c r="I221" s="2" t="n">
        <v>185540</v>
      </c>
      <c r="J221" s="2" t="n">
        <v>426560000</v>
      </c>
      <c r="K221" s="2" t="n">
        <v>2140000</v>
      </c>
      <c r="L221" s="2" t="n">
        <v>101560</v>
      </c>
      <c r="M221" s="2" t="n">
        <v>337450</v>
      </c>
      <c r="N221" s="2" t="n"/>
      <c r="O221" s="2" t="n">
        <v>1560000</v>
      </c>
      <c r="P221" s="2" t="n">
        <v>1270000</v>
      </c>
      <c r="Q221" s="2" t="n">
        <v>34300</v>
      </c>
      <c r="R221" s="2" t="n">
        <v>394310</v>
      </c>
      <c r="S221" s="2" t="n">
        <v>671550</v>
      </c>
      <c r="T221" s="2" t="n">
        <v>89210</v>
      </c>
      <c r="U221" s="2" t="n">
        <v>4410000</v>
      </c>
      <c r="V221" s="2" t="n">
        <v>2170000</v>
      </c>
      <c r="W221" s="2" t="n">
        <v>415380</v>
      </c>
      <c r="X221" s="2" t="n">
        <v>166590</v>
      </c>
      <c r="Z221" s="2" t="n">
        <v>3350000</v>
      </c>
      <c r="AA221" s="2" t="n">
        <v>17460000</v>
      </c>
      <c r="AB221" s="2" t="n">
        <v>9020000</v>
      </c>
      <c r="AC221" s="2" t="n">
        <v>10050000</v>
      </c>
      <c r="AD221" s="2" t="n">
        <v>2310000</v>
      </c>
      <c r="AE221" s="2" t="n">
        <v>67570</v>
      </c>
      <c r="AF221" s="2" t="n">
        <v>791990</v>
      </c>
    </row>
    <row r="222" ht="16" customHeight="1">
      <c r="A222" s="2" t="inlineStr">
        <is>
          <t>09/21/2025</t>
        </is>
      </c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>
        <v>108980000</v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Z222" s="2" t="n"/>
      <c r="AA222" s="2" t="n"/>
      <c r="AB222" s="2" t="n"/>
      <c r="AC222" s="2" t="n"/>
      <c r="AD222" s="2" t="n"/>
      <c r="AE222" s="2" t="n">
        <v>19280</v>
      </c>
      <c r="AF222" s="2" t="n">
        <v>162630</v>
      </c>
    </row>
    <row r="223" ht="16" customHeight="1">
      <c r="A223" s="2" t="inlineStr">
        <is>
          <t>09/20/2025</t>
        </is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>
        <v>87540000</v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Z223" s="2" t="n"/>
      <c r="AA223" s="2" t="n"/>
      <c r="AB223" s="2" t="n"/>
      <c r="AC223" s="2" t="n"/>
      <c r="AD223" s="2" t="n"/>
      <c r="AE223" s="2" t="n">
        <v>20420</v>
      </c>
      <c r="AF223" s="2" t="n">
        <v>143440</v>
      </c>
    </row>
    <row r="224" ht="16" customHeight="1">
      <c r="A224" s="2" t="inlineStr">
        <is>
          <t>09/19/2025</t>
        </is>
      </c>
      <c r="B224" s="2" t="n">
        <v>331060</v>
      </c>
      <c r="C224" s="2" t="n">
        <v>188850</v>
      </c>
      <c r="D224" s="2" t="n">
        <v>20290</v>
      </c>
      <c r="E224" s="2" t="n">
        <v>11170000</v>
      </c>
      <c r="F224" s="2" t="n">
        <v>143630</v>
      </c>
      <c r="G224" s="2" t="n">
        <v>283480</v>
      </c>
      <c r="H224" s="2" t="n">
        <v>104220</v>
      </c>
      <c r="I224" s="2" t="n">
        <v>82120</v>
      </c>
      <c r="J224" s="2" t="n">
        <v>167590000</v>
      </c>
      <c r="K224" s="2" t="n">
        <v>2690000</v>
      </c>
      <c r="L224" s="2" t="n">
        <v>51150</v>
      </c>
      <c r="M224" s="2" t="n">
        <v>439970</v>
      </c>
      <c r="N224" s="2" t="n"/>
      <c r="O224" s="2" t="n">
        <v>1210000</v>
      </c>
      <c r="P224" s="2" t="n">
        <v>1500000</v>
      </c>
      <c r="Q224" s="2" t="n">
        <v>18880</v>
      </c>
      <c r="R224" s="2" t="n">
        <v>1470000</v>
      </c>
      <c r="S224" s="2" t="n">
        <v>1110000</v>
      </c>
      <c r="T224" s="2" t="n">
        <v>69430</v>
      </c>
      <c r="U224" s="2" t="n">
        <v>3990000</v>
      </c>
      <c r="V224" s="2" t="n">
        <v>2550000</v>
      </c>
      <c r="W224" s="2" t="n">
        <v>318810</v>
      </c>
      <c r="X224" s="2" t="n">
        <v>184170</v>
      </c>
      <c r="Z224" s="2" t="n">
        <v>3420000</v>
      </c>
      <c r="AA224" s="2" t="n">
        <v>17610000</v>
      </c>
      <c r="AB224" s="2" t="n">
        <v>18160000</v>
      </c>
      <c r="AC224" s="2" t="n">
        <v>17700000</v>
      </c>
      <c r="AD224" s="2" t="n">
        <v>814960</v>
      </c>
      <c r="AE224" s="2" t="n">
        <v>36980</v>
      </c>
      <c r="AF224" s="2" t="n">
        <v>365210</v>
      </c>
    </row>
    <row r="225" ht="16" customHeight="1">
      <c r="A225" s="2" t="inlineStr">
        <is>
          <t>09/18/2025</t>
        </is>
      </c>
      <c r="B225" s="2" t="n">
        <v>377880</v>
      </c>
      <c r="C225" s="2" t="n">
        <v>188260</v>
      </c>
      <c r="D225" s="2" t="n">
        <v>19900</v>
      </c>
      <c r="E225" s="2" t="n">
        <v>13410000</v>
      </c>
      <c r="F225" s="2" t="n">
        <v>161760</v>
      </c>
      <c r="G225" s="2" t="n">
        <v>328270</v>
      </c>
      <c r="H225" s="2" t="n">
        <v>135840</v>
      </c>
      <c r="I225" s="2" t="n">
        <v>189630</v>
      </c>
      <c r="J225" s="2" t="n">
        <v>197580000</v>
      </c>
      <c r="K225" s="2" t="n">
        <v>2920000</v>
      </c>
      <c r="L225" s="2" t="n">
        <v>33650</v>
      </c>
      <c r="M225" s="2" t="n">
        <v>290470</v>
      </c>
      <c r="N225" s="2" t="n"/>
      <c r="O225" s="2" t="n">
        <v>1800000</v>
      </c>
      <c r="P225" s="2" t="n">
        <v>1630000</v>
      </c>
      <c r="Q225" s="2" t="n">
        <v>13610</v>
      </c>
      <c r="R225" s="2" t="n">
        <v>262210</v>
      </c>
      <c r="S225" s="2" t="n">
        <v>659620</v>
      </c>
      <c r="T225" s="2" t="n">
        <v>88820</v>
      </c>
      <c r="U225" s="2" t="n">
        <v>4300000</v>
      </c>
      <c r="V225" s="2" t="n">
        <v>1490000</v>
      </c>
      <c r="W225" s="2" t="n">
        <v>342320</v>
      </c>
      <c r="X225" s="2" t="n">
        <v>203220</v>
      </c>
      <c r="Z225" s="2" t="n">
        <v>3900000</v>
      </c>
      <c r="AA225" s="2" t="n">
        <v>17240000</v>
      </c>
      <c r="AB225" s="2" t="n">
        <v>8390000</v>
      </c>
      <c r="AC225" s="2" t="n">
        <v>19700000</v>
      </c>
      <c r="AD225" s="2" t="n">
        <v>889780</v>
      </c>
      <c r="AE225" s="2" t="n">
        <v>46500</v>
      </c>
      <c r="AF225" s="2" t="n">
        <v>321000</v>
      </c>
    </row>
    <row r="226" ht="16" customHeight="1">
      <c r="A226" s="2" t="inlineStr">
        <is>
          <t>09/17/2025</t>
        </is>
      </c>
      <c r="B226" s="2" t="n">
        <v>362750</v>
      </c>
      <c r="C226" s="2" t="n">
        <v>212820</v>
      </c>
      <c r="D226" s="2" t="n">
        <v>14060</v>
      </c>
      <c r="E226" s="2" t="n">
        <v>10380000</v>
      </c>
      <c r="F226" s="2" t="n">
        <v>197630</v>
      </c>
      <c r="G226" s="2" t="n">
        <v>249790</v>
      </c>
      <c r="H226" s="2" t="n">
        <v>124200</v>
      </c>
      <c r="I226" s="2" t="n">
        <v>116090</v>
      </c>
      <c r="J226" s="2" t="n">
        <v>176980000</v>
      </c>
      <c r="K226" s="2" t="n">
        <v>3040000</v>
      </c>
      <c r="L226" s="2" t="n">
        <v>67620</v>
      </c>
      <c r="M226" s="2" t="n">
        <v>336550</v>
      </c>
      <c r="N226" s="2" t="n"/>
      <c r="O226" s="2" t="n">
        <v>3060000</v>
      </c>
      <c r="P226" s="2" t="n">
        <v>1680000</v>
      </c>
      <c r="Q226" s="2" t="n">
        <v>11780</v>
      </c>
      <c r="R226" s="2" t="n">
        <v>531920</v>
      </c>
      <c r="S226" s="2" t="n">
        <v>793770</v>
      </c>
      <c r="T226" s="2" t="n">
        <v>104360</v>
      </c>
      <c r="U226" s="2" t="n">
        <v>5130000</v>
      </c>
      <c r="V226" s="2" t="n">
        <v>1290000</v>
      </c>
      <c r="W226" s="2" t="n">
        <v>276700</v>
      </c>
      <c r="X226" s="2" t="n">
        <v>104220</v>
      </c>
      <c r="Z226" s="2" t="n">
        <v>3780000</v>
      </c>
      <c r="AA226" s="2" t="n">
        <v>21750000</v>
      </c>
      <c r="AB226" s="2" t="n">
        <v>8830000</v>
      </c>
      <c r="AC226" s="2" t="n">
        <v>9690000</v>
      </c>
      <c r="AD226" s="2" t="n">
        <v>1210000</v>
      </c>
      <c r="AE226" s="2" t="n">
        <v>56850</v>
      </c>
      <c r="AF226" s="2" t="n">
        <v>517000</v>
      </c>
    </row>
    <row r="227" ht="16" customHeight="1">
      <c r="A227" s="2" t="inlineStr">
        <is>
          <t>09/16/2025</t>
        </is>
      </c>
      <c r="B227" s="2" t="n">
        <v>338270</v>
      </c>
      <c r="C227" s="2" t="n">
        <v>260750</v>
      </c>
      <c r="D227" s="2" t="n">
        <v>14230</v>
      </c>
      <c r="E227" s="2" t="n">
        <v>11550000</v>
      </c>
      <c r="F227" s="2" t="n">
        <v>134340</v>
      </c>
      <c r="G227" s="2" t="n">
        <v>281530</v>
      </c>
      <c r="H227" s="2" t="n">
        <v>190400</v>
      </c>
      <c r="I227" s="2" t="n">
        <v>141970</v>
      </c>
      <c r="J227" s="2" t="n">
        <v>143920000</v>
      </c>
      <c r="K227" s="2" t="n">
        <v>2480000</v>
      </c>
      <c r="L227" s="2" t="n">
        <v>71330</v>
      </c>
      <c r="M227" s="2" t="n">
        <v>335250</v>
      </c>
      <c r="N227" s="2" t="n"/>
      <c r="O227" s="2" t="n">
        <v>2940000</v>
      </c>
      <c r="P227" s="2" t="n">
        <v>1420000</v>
      </c>
      <c r="Q227" s="2" t="n">
        <v>11740</v>
      </c>
      <c r="R227" s="2" t="n">
        <v>388900</v>
      </c>
      <c r="S227" s="2" t="n">
        <v>756040</v>
      </c>
      <c r="T227" s="2" t="n">
        <v>192620</v>
      </c>
      <c r="U227" s="2" t="n">
        <v>3650000</v>
      </c>
      <c r="V227" s="2" t="n">
        <v>2540000</v>
      </c>
      <c r="W227" s="2" t="n">
        <v>325530</v>
      </c>
      <c r="X227" s="2" t="n">
        <v>121890</v>
      </c>
      <c r="Z227" s="2" t="n">
        <v>2910000</v>
      </c>
      <c r="AA227" s="2" t="n">
        <v>19910000</v>
      </c>
      <c r="AB227" s="2" t="n">
        <v>7480000</v>
      </c>
      <c r="AC227" s="2" t="n">
        <v>8650000</v>
      </c>
      <c r="AD227" s="2" t="n">
        <v>922010</v>
      </c>
      <c r="AE227" s="2" t="n">
        <v>43050</v>
      </c>
      <c r="AF227" s="2" t="n">
        <v>324490</v>
      </c>
    </row>
    <row r="228" ht="16" customHeight="1">
      <c r="A228" s="2" t="inlineStr">
        <is>
          <t>09/15/2025</t>
        </is>
      </c>
      <c r="B228" s="2" t="n">
        <v>335040</v>
      </c>
      <c r="C228" s="2" t="n">
        <v>217320</v>
      </c>
      <c r="D228" s="2" t="n">
        <v>16950</v>
      </c>
      <c r="E228" s="2" t="n">
        <v>15290000</v>
      </c>
      <c r="F228" s="2" t="n">
        <v>215220</v>
      </c>
      <c r="G228" s="2" t="n">
        <v>333920</v>
      </c>
      <c r="H228" s="2" t="n">
        <v>100490</v>
      </c>
      <c r="I228" s="2" t="n">
        <v>129680</v>
      </c>
      <c r="J228" s="2" t="n">
        <v>224880000</v>
      </c>
      <c r="K228" s="2" t="n">
        <v>2270000</v>
      </c>
      <c r="L228" s="2" t="n">
        <v>68300</v>
      </c>
      <c r="M228" s="2" t="n">
        <v>336860</v>
      </c>
      <c r="N228" s="2" t="n"/>
      <c r="O228" s="2" t="n">
        <v>1310000</v>
      </c>
      <c r="P228" s="2" t="n">
        <v>1170000</v>
      </c>
      <c r="Q228" s="2" t="n">
        <v>23860</v>
      </c>
      <c r="R228" s="2" t="n">
        <v>1580000</v>
      </c>
      <c r="S228" s="2" t="n">
        <v>631880</v>
      </c>
      <c r="T228" s="2" t="n">
        <v>88000</v>
      </c>
      <c r="U228" s="2" t="n">
        <v>2840000</v>
      </c>
      <c r="V228" s="2" t="n">
        <v>1670000</v>
      </c>
      <c r="W228" s="2" t="n">
        <v>313880</v>
      </c>
      <c r="X228" s="2" t="n">
        <v>180410</v>
      </c>
      <c r="Z228" s="2" t="n">
        <v>2980000</v>
      </c>
      <c r="AA228" s="2" t="n">
        <v>18550000</v>
      </c>
      <c r="AB228" s="2" t="n">
        <v>13780000</v>
      </c>
      <c r="AC228" s="2" t="n">
        <v>9530000</v>
      </c>
      <c r="AD228" s="2" t="n">
        <v>1140000</v>
      </c>
      <c r="AE228" s="2" t="n">
        <v>48680</v>
      </c>
      <c r="AF228" s="2" t="n">
        <v>442380</v>
      </c>
    </row>
    <row r="229" ht="16" customHeight="1">
      <c r="A229" s="2" t="inlineStr">
        <is>
          <t>09/14/2025</t>
        </is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>
        <v>111670000</v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Z229" s="2" t="n"/>
      <c r="AA229" s="2" t="n"/>
      <c r="AB229" s="2" t="n"/>
      <c r="AC229" s="2" t="n"/>
      <c r="AD229" s="2" t="n"/>
      <c r="AE229" s="2" t="n">
        <v>25840</v>
      </c>
      <c r="AF229" s="2" t="n">
        <v>296820</v>
      </c>
    </row>
    <row r="230" ht="16" customHeight="1">
      <c r="A230" s="2" t="inlineStr">
        <is>
          <t>09/13/2025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>
        <v>152970000</v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Z230" s="2" t="n"/>
      <c r="AA230" s="2" t="n"/>
      <c r="AB230" s="2" t="n"/>
      <c r="AC230" s="2" t="n"/>
      <c r="AD230" s="2" t="n"/>
      <c r="AE230" s="2" t="n">
        <v>30790</v>
      </c>
      <c r="AF230" s="2" t="n">
        <v>429560</v>
      </c>
    </row>
    <row r="231" ht="16" customHeight="1">
      <c r="A231" s="2" t="inlineStr">
        <is>
          <t>09/12/2025</t>
        </is>
      </c>
      <c r="B231" s="2" t="n">
        <v>357580</v>
      </c>
      <c r="C231" s="2" t="n">
        <v>179890</v>
      </c>
      <c r="D231" s="2" t="n">
        <v>17760</v>
      </c>
      <c r="E231" s="2" t="n">
        <v>10480000</v>
      </c>
      <c r="F231" s="2" t="n">
        <v>342170</v>
      </c>
      <c r="G231" s="2" t="n">
        <v>472330</v>
      </c>
      <c r="H231" s="2" t="n">
        <v>170850</v>
      </c>
      <c r="I231" s="2" t="n">
        <v>266370</v>
      </c>
      <c r="J231" s="2" t="n">
        <v>177260000</v>
      </c>
      <c r="K231" s="2" t="n">
        <v>2120000</v>
      </c>
      <c r="L231" s="2" t="n">
        <v>66280</v>
      </c>
      <c r="M231" s="2" t="n">
        <v>428760</v>
      </c>
      <c r="N231" s="2" t="n"/>
      <c r="O231" s="2" t="n">
        <v>1690000</v>
      </c>
      <c r="P231" s="2" t="n">
        <v>1130000</v>
      </c>
      <c r="Q231" s="2" t="n">
        <v>20930</v>
      </c>
      <c r="R231" s="2" t="n">
        <v>1130000</v>
      </c>
      <c r="S231" s="2" t="n">
        <v>665790</v>
      </c>
      <c r="T231" s="2" t="n">
        <v>355170</v>
      </c>
      <c r="U231" s="2" t="n">
        <v>4690000</v>
      </c>
      <c r="V231" s="2" t="n">
        <v>1100000</v>
      </c>
      <c r="W231" s="2" t="n">
        <v>303230</v>
      </c>
      <c r="X231" s="2" t="n">
        <v>227670</v>
      </c>
      <c r="Z231" s="2" t="n">
        <v>3440000</v>
      </c>
      <c r="AA231" s="2" t="n">
        <v>14970000</v>
      </c>
      <c r="AB231" s="2" t="n">
        <v>5850000</v>
      </c>
      <c r="AC231" s="2" t="n">
        <v>10810000</v>
      </c>
      <c r="AD231" s="2" t="n">
        <v>922360</v>
      </c>
      <c r="AE231" s="2" t="n">
        <v>56480</v>
      </c>
      <c r="AF231" s="2" t="n">
        <v>557870</v>
      </c>
    </row>
    <row r="232" ht="16" customHeight="1">
      <c r="A232" s="2" t="inlineStr">
        <is>
          <t>09/11/2025</t>
        </is>
      </c>
      <c r="B232" s="2" t="n">
        <v>364850</v>
      </c>
      <c r="C232" s="2" t="n">
        <v>223180</v>
      </c>
      <c r="D232" s="2" t="n">
        <v>14390</v>
      </c>
      <c r="E232" s="2" t="n">
        <v>9140000</v>
      </c>
      <c r="F232" s="2" t="n">
        <v>172870</v>
      </c>
      <c r="G232" s="2" t="n">
        <v>308670</v>
      </c>
      <c r="H232" s="2" t="n">
        <v>137240</v>
      </c>
      <c r="I232" s="2" t="n">
        <v>169440</v>
      </c>
      <c r="J232" s="2" t="n">
        <v>173700000</v>
      </c>
      <c r="K232" s="2" t="n">
        <v>1790000</v>
      </c>
      <c r="L232" s="2" t="n">
        <v>47740</v>
      </c>
      <c r="M232" s="2" t="n">
        <v>306790</v>
      </c>
      <c r="N232" s="2" t="n"/>
      <c r="O232" s="2" t="n">
        <v>1830000</v>
      </c>
      <c r="P232" s="2" t="n">
        <v>1120000</v>
      </c>
      <c r="Q232" s="2" t="n">
        <v>31110</v>
      </c>
      <c r="R232" s="2" t="n">
        <v>571600</v>
      </c>
      <c r="S232" s="2" t="n">
        <v>800820</v>
      </c>
      <c r="T232" s="2" t="n">
        <v>99400</v>
      </c>
      <c r="U232" s="2" t="n">
        <v>6140000</v>
      </c>
      <c r="V232" s="2" t="n">
        <v>1350000</v>
      </c>
      <c r="W232" s="2" t="n">
        <v>236590</v>
      </c>
      <c r="X232" s="2" t="n">
        <v>149470</v>
      </c>
      <c r="Z232" s="2" t="n">
        <v>3320000</v>
      </c>
      <c r="AA232" s="2" t="n">
        <v>13520000</v>
      </c>
      <c r="AB232" s="2" t="n">
        <v>8950000</v>
      </c>
      <c r="AC232" s="2" t="n">
        <v>7510000</v>
      </c>
      <c r="AD232" s="2" t="n">
        <v>1030000</v>
      </c>
      <c r="AE232" s="2" t="n">
        <v>47810</v>
      </c>
      <c r="AF232" s="2" t="n">
        <v>484910</v>
      </c>
    </row>
    <row r="233" ht="16" customHeight="1">
      <c r="A233" s="2" t="inlineStr">
        <is>
          <t>09/10/2025</t>
        </is>
      </c>
      <c r="B233" s="2" t="n">
        <v>334480</v>
      </c>
      <c r="C233" s="2" t="n">
        <v>231440</v>
      </c>
      <c r="D233" s="2" t="n">
        <v>18830</v>
      </c>
      <c r="E233" s="2" t="n">
        <v>9360000</v>
      </c>
      <c r="F233" s="2" t="n">
        <v>219290</v>
      </c>
      <c r="G233" s="2" t="n">
        <v>313550</v>
      </c>
      <c r="H233" s="2" t="n">
        <v>150740</v>
      </c>
      <c r="I233" s="2" t="n">
        <v>172880</v>
      </c>
      <c r="J233" s="2" t="n">
        <v>158430000</v>
      </c>
      <c r="K233" s="2" t="n">
        <v>3150000</v>
      </c>
      <c r="L233" s="2" t="n">
        <v>54570</v>
      </c>
      <c r="M233" s="2" t="n">
        <v>403400</v>
      </c>
      <c r="N233" s="2" t="n"/>
      <c r="O233" s="2" t="n">
        <v>2530000</v>
      </c>
      <c r="P233" s="2" t="n">
        <v>1560000</v>
      </c>
      <c r="Q233" s="2" t="n">
        <v>36510</v>
      </c>
      <c r="R233" s="2" t="n">
        <v>326840</v>
      </c>
      <c r="S233" s="2" t="n">
        <v>575170</v>
      </c>
      <c r="T233" s="2" t="n">
        <v>110410</v>
      </c>
      <c r="U233" s="2" t="n">
        <v>6210000</v>
      </c>
      <c r="V233" s="2" t="n">
        <v>1040000</v>
      </c>
      <c r="W233" s="2" t="n">
        <v>300760</v>
      </c>
      <c r="X233" s="2" t="n">
        <v>234860</v>
      </c>
      <c r="Z233" s="2" t="n">
        <v>4140000</v>
      </c>
      <c r="AA233" s="2" t="n">
        <v>16570000</v>
      </c>
      <c r="AB233" s="2" t="n">
        <v>6470000</v>
      </c>
      <c r="AC233" s="2" t="n">
        <v>9740000</v>
      </c>
      <c r="AD233" s="2" t="n">
        <v>1350000</v>
      </c>
      <c r="AE233" s="2" t="n">
        <v>62240</v>
      </c>
      <c r="AF233" s="2" t="n">
        <v>555580</v>
      </c>
    </row>
    <row r="234" ht="16" customHeight="1">
      <c r="A234" s="2" t="inlineStr">
        <is>
          <t>09/09/2025</t>
        </is>
      </c>
      <c r="B234" s="2" t="n">
        <v>352680</v>
      </c>
      <c r="C234" s="2" t="n">
        <v>147690</v>
      </c>
      <c r="D234" s="2" t="n">
        <v>14290</v>
      </c>
      <c r="E234" s="2" t="n">
        <v>11010000</v>
      </c>
      <c r="F234" s="2" t="n">
        <v>169490</v>
      </c>
      <c r="G234" s="2" t="n">
        <v>318260</v>
      </c>
      <c r="H234" s="2" t="n">
        <v>131410</v>
      </c>
      <c r="I234" s="2" t="n">
        <v>187760</v>
      </c>
      <c r="J234" s="2" t="n">
        <v>209560000</v>
      </c>
      <c r="K234" s="2" t="n">
        <v>3060000</v>
      </c>
      <c r="L234" s="2" t="n">
        <v>68420</v>
      </c>
      <c r="M234" s="2" t="n">
        <v>332710</v>
      </c>
      <c r="N234" s="2" t="n"/>
      <c r="O234" s="2" t="n">
        <v>1890000</v>
      </c>
      <c r="P234" s="2" t="n">
        <v>2290000</v>
      </c>
      <c r="Q234" s="2" t="n">
        <v>44790</v>
      </c>
      <c r="R234" s="2" t="n">
        <v>309920</v>
      </c>
      <c r="S234" s="2" t="n">
        <v>566880</v>
      </c>
      <c r="T234" s="2" t="n">
        <v>95590</v>
      </c>
      <c r="U234" s="2" t="n">
        <v>3290000</v>
      </c>
      <c r="V234" s="2" t="n">
        <v>1060000</v>
      </c>
      <c r="W234" s="2" t="n">
        <v>264640</v>
      </c>
      <c r="X234" s="2" t="n">
        <v>182320</v>
      </c>
      <c r="Z234" s="2" t="n">
        <v>3080000</v>
      </c>
      <c r="AA234" s="2" t="n">
        <v>18580000</v>
      </c>
      <c r="AB234" s="2" t="n">
        <v>6440000</v>
      </c>
      <c r="AC234" s="2" t="n">
        <v>6590000</v>
      </c>
      <c r="AD234" s="2" t="n">
        <v>2190000</v>
      </c>
      <c r="AE234" s="2" t="n">
        <v>53760</v>
      </c>
      <c r="AF234" s="2" t="n">
        <v>448230</v>
      </c>
    </row>
    <row r="235" ht="16" customHeight="1">
      <c r="A235" s="2" t="inlineStr">
        <is>
          <t>09/08/2025</t>
        </is>
      </c>
      <c r="B235" s="2" t="n">
        <v>324940</v>
      </c>
      <c r="C235" s="2" t="n">
        <v>174250</v>
      </c>
      <c r="D235" s="2" t="n">
        <v>14930</v>
      </c>
      <c r="E235" s="2" t="n">
        <v>12720000</v>
      </c>
      <c r="F235" s="2" t="n">
        <v>185220</v>
      </c>
      <c r="G235" s="2" t="n">
        <v>375230</v>
      </c>
      <c r="H235" s="2" t="n">
        <v>133310</v>
      </c>
      <c r="I235" s="2" t="n">
        <v>170250</v>
      </c>
      <c r="J235" s="2" t="n">
        <v>146860000</v>
      </c>
      <c r="K235" s="2" t="n">
        <v>2210000</v>
      </c>
      <c r="L235" s="2" t="n">
        <v>76690</v>
      </c>
      <c r="M235" s="2" t="n">
        <v>345800</v>
      </c>
      <c r="N235" s="2" t="n"/>
      <c r="O235" s="2" t="n">
        <v>2830000</v>
      </c>
      <c r="P235" s="2" t="n">
        <v>1870000</v>
      </c>
      <c r="Q235" s="2" t="n">
        <v>31750</v>
      </c>
      <c r="R235" s="2" t="n">
        <v>240900</v>
      </c>
      <c r="S235" s="2" t="n">
        <v>936030</v>
      </c>
      <c r="T235" s="2" t="n">
        <v>42210</v>
      </c>
      <c r="U235" s="2" t="n">
        <v>5190000</v>
      </c>
      <c r="V235" s="2" t="n">
        <v>1090000</v>
      </c>
      <c r="W235" s="2" t="n">
        <v>294350</v>
      </c>
      <c r="X235" s="2" t="n">
        <v>144940</v>
      </c>
      <c r="Z235" s="2" t="n">
        <v>2560000</v>
      </c>
      <c r="AA235" s="2" t="n">
        <v>18250000</v>
      </c>
      <c r="AB235" s="2" t="n">
        <v>8100000</v>
      </c>
      <c r="AC235" s="2" t="n">
        <v>9950000</v>
      </c>
      <c r="AD235" s="2" t="n">
        <v>1250000</v>
      </c>
      <c r="AE235" s="2" t="n">
        <v>41950</v>
      </c>
      <c r="AF235" s="2" t="n">
        <v>429460</v>
      </c>
    </row>
    <row r="236" ht="16" customHeight="1">
      <c r="A236" s="2" t="inlineStr">
        <is>
          <t>09/07/2025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>
        <v>72570000</v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Z236" s="2" t="n"/>
      <c r="AA236" s="2" t="n"/>
      <c r="AB236" s="2" t="n"/>
      <c r="AC236" s="2" t="n"/>
      <c r="AD236" s="2" t="n"/>
      <c r="AE236" s="2" t="n">
        <v>23810</v>
      </c>
      <c r="AF236" s="2" t="n">
        <v>190890</v>
      </c>
    </row>
    <row r="237" ht="16" customHeight="1">
      <c r="A237" s="2" t="inlineStr">
        <is>
          <t>09/06/2025</t>
        </is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>
        <v>56330000</v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Z237" s="2" t="n"/>
      <c r="AA237" s="2" t="n"/>
      <c r="AB237" s="2" t="n"/>
      <c r="AC237" s="2" t="n"/>
      <c r="AD237" s="2" t="n"/>
      <c r="AE237" s="2" t="n">
        <v>21140</v>
      </c>
      <c r="AF237" s="2" t="n">
        <v>223040</v>
      </c>
    </row>
    <row r="238" ht="16" customHeight="1">
      <c r="A238" s="2" t="inlineStr">
        <is>
          <t>09/05/2025</t>
        </is>
      </c>
      <c r="B238" s="2" t="n">
        <v>331090</v>
      </c>
      <c r="C238" s="2" t="n">
        <v>139780</v>
      </c>
      <c r="D238" s="2" t="n">
        <v>13280</v>
      </c>
      <c r="E238" s="2" t="n">
        <v>15310000</v>
      </c>
      <c r="F238" s="2" t="n">
        <v>166660</v>
      </c>
      <c r="G238" s="2" t="n">
        <v>410130</v>
      </c>
      <c r="H238" s="2" t="n">
        <v>281840</v>
      </c>
      <c r="I238" s="2" t="n">
        <v>132520</v>
      </c>
      <c r="J238" s="2" t="n">
        <v>168100000</v>
      </c>
      <c r="K238" s="2" t="n">
        <v>1430000</v>
      </c>
      <c r="L238" s="2" t="n">
        <v>33510</v>
      </c>
      <c r="M238" s="2" t="n">
        <v>205060</v>
      </c>
      <c r="N238" s="2" t="n"/>
      <c r="O238" s="2" t="n">
        <v>2260000</v>
      </c>
      <c r="P238" s="2" t="n">
        <v>1320000</v>
      </c>
      <c r="Q238" s="2" t="n">
        <v>17990</v>
      </c>
      <c r="R238" s="2" t="n">
        <v>152780</v>
      </c>
      <c r="S238" s="2" t="n">
        <v>798150</v>
      </c>
      <c r="T238" s="2" t="n">
        <v>25300</v>
      </c>
      <c r="U238" s="2" t="n">
        <v>3920000</v>
      </c>
      <c r="V238" s="2" t="n">
        <v>1370000</v>
      </c>
      <c r="W238" s="2" t="n">
        <v>236800</v>
      </c>
      <c r="X238" s="2" t="n">
        <v>96040</v>
      </c>
      <c r="Z238" s="2" t="n">
        <v>3920000</v>
      </c>
      <c r="AA238" s="2" t="n">
        <v>15330000</v>
      </c>
      <c r="AB238" s="2" t="n">
        <v>10020000</v>
      </c>
      <c r="AC238" s="2" t="n">
        <v>14050000</v>
      </c>
      <c r="AD238" s="2" t="n">
        <v>898840</v>
      </c>
      <c r="AE238" s="2" t="n">
        <v>63560</v>
      </c>
      <c r="AF238" s="2" t="n">
        <v>687120</v>
      </c>
    </row>
    <row r="239" ht="16" customHeight="1">
      <c r="A239" s="2" t="inlineStr">
        <is>
          <t>09/04/2025</t>
        </is>
      </c>
      <c r="B239" s="2" t="n">
        <v>378900</v>
      </c>
      <c r="C239" s="2" t="n">
        <v>150670</v>
      </c>
      <c r="D239" s="2" t="n">
        <v>12940</v>
      </c>
      <c r="E239" s="2" t="n">
        <v>11300000</v>
      </c>
      <c r="F239" s="2" t="n">
        <v>106830</v>
      </c>
      <c r="G239" s="2" t="n">
        <v>631020</v>
      </c>
      <c r="H239" s="2" t="n">
        <v>274090</v>
      </c>
      <c r="I239" s="2" t="n">
        <v>102590</v>
      </c>
      <c r="J239" s="2" t="n">
        <v>170460000</v>
      </c>
      <c r="K239" s="2" t="n">
        <v>1460000</v>
      </c>
      <c r="L239" s="2" t="n">
        <v>43420</v>
      </c>
      <c r="M239" s="2" t="n">
        <v>210690</v>
      </c>
      <c r="N239" s="2" t="n"/>
      <c r="O239" s="2" t="n">
        <v>4870000</v>
      </c>
      <c r="P239" s="2" t="n">
        <v>2100000</v>
      </c>
      <c r="Q239" s="2" t="n">
        <v>21990</v>
      </c>
      <c r="R239" s="2" t="n">
        <v>143450</v>
      </c>
      <c r="S239" s="2" t="n">
        <v>379480</v>
      </c>
      <c r="T239" s="2" t="n">
        <v>40090</v>
      </c>
      <c r="U239" s="2" t="n">
        <v>2760000</v>
      </c>
      <c r="V239" s="2" t="n">
        <v>892920</v>
      </c>
      <c r="W239" s="2" t="n">
        <v>167160</v>
      </c>
      <c r="X239" s="2" t="n">
        <v>70620</v>
      </c>
      <c r="Z239" s="2" t="n">
        <v>2430000</v>
      </c>
      <c r="AA239" s="2" t="n">
        <v>13420000</v>
      </c>
      <c r="AB239" s="2" t="n">
        <v>8640000</v>
      </c>
      <c r="AC239" s="2" t="n">
        <v>10530000</v>
      </c>
      <c r="AD239" s="2" t="n">
        <v>665290</v>
      </c>
      <c r="AE239" s="2" t="n">
        <v>43300</v>
      </c>
      <c r="AF239" s="2" t="n">
        <v>517429.9999999999</v>
      </c>
    </row>
    <row r="240" ht="16" customHeight="1">
      <c r="A240" s="2" t="inlineStr">
        <is>
          <t>09/03/2025</t>
        </is>
      </c>
      <c r="B240" s="2" t="n">
        <v>327160</v>
      </c>
      <c r="C240" s="2" t="n">
        <v>152500</v>
      </c>
      <c r="D240" s="2" t="n">
        <v>11630</v>
      </c>
      <c r="E240" s="2" t="n">
        <v>14300000</v>
      </c>
      <c r="F240" s="2" t="n">
        <v>205940</v>
      </c>
      <c r="G240" s="2" t="n">
        <v>606020</v>
      </c>
      <c r="H240" s="2" t="n">
        <v>328050</v>
      </c>
      <c r="I240" s="2" t="n">
        <v>116390</v>
      </c>
      <c r="J240" s="2" t="n">
        <v>111980000</v>
      </c>
      <c r="K240" s="2" t="n">
        <v>1510000</v>
      </c>
      <c r="L240" s="2" t="n">
        <v>73740</v>
      </c>
      <c r="M240" s="2" t="n">
        <v>291340</v>
      </c>
      <c r="N240" s="2" t="n"/>
      <c r="O240" s="2" t="n">
        <v>1830000</v>
      </c>
      <c r="P240" s="2" t="n">
        <v>1310000</v>
      </c>
      <c r="Q240" s="2" t="n">
        <v>16890</v>
      </c>
      <c r="R240" s="2" t="n">
        <v>103430</v>
      </c>
      <c r="S240" s="2" t="n">
        <v>838570</v>
      </c>
      <c r="T240" s="2" t="n">
        <v>7990</v>
      </c>
      <c r="U240" s="2" t="n">
        <v>4610000</v>
      </c>
      <c r="V240" s="2" t="n">
        <v>894860</v>
      </c>
      <c r="W240" s="2" t="n">
        <v>174810</v>
      </c>
      <c r="X240" s="2" t="n">
        <v>89880</v>
      </c>
      <c r="Z240" s="2" t="n">
        <v>2910000</v>
      </c>
      <c r="AA240" s="2" t="n">
        <v>19870000</v>
      </c>
      <c r="AB240" s="2" t="n">
        <v>12930000</v>
      </c>
      <c r="AC240" s="2" t="n">
        <v>9180000</v>
      </c>
      <c r="AD240" s="2" t="n">
        <v>708330</v>
      </c>
      <c r="AE240" s="2" t="n">
        <v>43050</v>
      </c>
      <c r="AF240" s="2" t="n">
        <v>525210</v>
      </c>
    </row>
    <row r="241" ht="16" customHeight="1">
      <c r="A241" s="2" t="inlineStr">
        <is>
          <t>09/02/2025</t>
        </is>
      </c>
      <c r="B241" s="2" t="n">
        <v>363910</v>
      </c>
      <c r="C241" s="2" t="n">
        <v>288340</v>
      </c>
      <c r="D241" s="2" t="n">
        <v>18310</v>
      </c>
      <c r="E241" s="2" t="n">
        <v>27250000</v>
      </c>
      <c r="F241" s="2" t="n">
        <v>176670</v>
      </c>
      <c r="G241" s="2" t="n">
        <v>688380</v>
      </c>
      <c r="H241" s="2" t="n">
        <v>254640</v>
      </c>
      <c r="I241" s="2" t="n">
        <v>138070</v>
      </c>
      <c r="J241" s="2" t="n">
        <v>143250000</v>
      </c>
      <c r="K241" s="2" t="n">
        <v>1340000</v>
      </c>
      <c r="L241" s="2" t="n">
        <v>42660</v>
      </c>
      <c r="M241" s="2" t="n">
        <v>178600</v>
      </c>
      <c r="N241" s="2" t="n"/>
      <c r="O241" s="2" t="n">
        <v>2270000</v>
      </c>
      <c r="P241" s="2" t="n">
        <v>2030000</v>
      </c>
      <c r="Q241" s="2" t="n">
        <v>17110</v>
      </c>
      <c r="R241" s="2" t="n">
        <v>97470</v>
      </c>
      <c r="S241" s="2" t="n">
        <v>586720</v>
      </c>
      <c r="T241" s="2" t="n">
        <v>58570</v>
      </c>
      <c r="U241" s="2" t="n">
        <v>3510000</v>
      </c>
      <c r="V241" s="2" t="n">
        <v>1150000</v>
      </c>
      <c r="W241" s="2" t="n">
        <v>199650</v>
      </c>
      <c r="X241" s="2" t="n">
        <v>78180</v>
      </c>
      <c r="Z241" s="2" t="n">
        <v>3860000</v>
      </c>
      <c r="AA241" s="2" t="n">
        <v>18420000</v>
      </c>
      <c r="AB241" s="2" t="n">
        <v>12250000</v>
      </c>
      <c r="AC241" s="2" t="n">
        <v>11120000</v>
      </c>
      <c r="AD241" s="2" t="n">
        <v>934870</v>
      </c>
      <c r="AE241" s="2" t="n">
        <v>60020</v>
      </c>
      <c r="AF241" s="2" t="n">
        <v>571360</v>
      </c>
    </row>
    <row r="242" ht="16" customHeight="1">
      <c r="A242" s="2" t="inlineStr">
        <is>
          <t>09/01/2025</t>
        </is>
      </c>
      <c r="B242" s="2" t="n">
        <v>365590</v>
      </c>
      <c r="C242" s="2" t="n">
        <v>199190</v>
      </c>
      <c r="D242" s="2" t="n">
        <v>34100</v>
      </c>
      <c r="E242" s="2" t="n"/>
      <c r="F242" s="2" t="n"/>
      <c r="G242" s="2" t="n"/>
      <c r="H242" s="2" t="n"/>
      <c r="I242" s="2" t="n"/>
      <c r="J242" s="2" t="n">
        <v>237800000</v>
      </c>
      <c r="K242" s="2" t="n">
        <v>2230000</v>
      </c>
      <c r="L242" s="2" t="n">
        <v>86760</v>
      </c>
      <c r="M242" s="2" t="n">
        <v>321230</v>
      </c>
      <c r="N242" s="2" t="n"/>
      <c r="O242" s="2" t="n"/>
      <c r="P242" s="2" t="n"/>
      <c r="Q242" s="2" t="n">
        <v>28250</v>
      </c>
      <c r="R242" s="2" t="n">
        <v>184570</v>
      </c>
      <c r="S242" s="2" t="n">
        <v>633860</v>
      </c>
      <c r="T242" s="2" t="n">
        <v>74230</v>
      </c>
      <c r="U242" s="2" t="n">
        <v>4340000</v>
      </c>
      <c r="V242" s="2" t="n">
        <v>1370000</v>
      </c>
      <c r="W242" s="2" t="n">
        <v>255910</v>
      </c>
      <c r="X242" s="2" t="n">
        <v>214260</v>
      </c>
      <c r="Z242" s="2" t="n"/>
      <c r="AA242" s="2" t="n"/>
      <c r="AB242" s="2" t="n"/>
      <c r="AC242" s="2" t="n"/>
      <c r="AD242" s="2" t="n"/>
      <c r="AE242" s="2" t="n">
        <v>53130</v>
      </c>
      <c r="AF242" s="2" t="n">
        <v>557960</v>
      </c>
    </row>
    <row r="243" ht="16" customHeight="1">
      <c r="A243" s="2" t="inlineStr">
        <is>
          <t>08/31/2025</t>
        </is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>
        <v>112380000</v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Z243" s="2" t="n"/>
      <c r="AA243" s="2" t="n"/>
      <c r="AB243" s="2" t="n"/>
      <c r="AC243" s="2" t="n"/>
      <c r="AD243" s="2" t="n"/>
      <c r="AE243" s="2" t="n">
        <v>33800</v>
      </c>
      <c r="AF243" s="2" t="n">
        <v>380840</v>
      </c>
    </row>
    <row r="244" ht="16" customHeight="1">
      <c r="A244" s="2" t="inlineStr">
        <is>
          <t>08/30/2025</t>
        </is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>
        <v>119540000</v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Z244" s="2" t="n"/>
      <c r="AA244" s="2" t="n"/>
      <c r="AB244" s="2" t="n"/>
      <c r="AC244" s="2" t="n"/>
      <c r="AD244" s="2" t="n"/>
      <c r="AE244" s="2" t="n">
        <v>41990</v>
      </c>
      <c r="AF244" s="2" t="n">
        <v>364720</v>
      </c>
    </row>
    <row r="245" ht="16" customHeight="1">
      <c r="A245" s="2" t="inlineStr">
        <is>
          <t>08/29/2025</t>
        </is>
      </c>
      <c r="B245" s="2" t="n">
        <v>323830</v>
      </c>
      <c r="C245" s="2" t="n">
        <v>179770</v>
      </c>
      <c r="D245" s="2" t="n">
        <v>18710</v>
      </c>
      <c r="E245" s="2" t="n">
        <v>21370000</v>
      </c>
      <c r="F245" s="2" t="n">
        <v>240790</v>
      </c>
      <c r="G245" s="2" t="n">
        <v>3890000</v>
      </c>
      <c r="H245" s="2" t="n">
        <v>140680</v>
      </c>
      <c r="I245" s="2" t="n">
        <v>185920</v>
      </c>
      <c r="J245" s="2" t="n">
        <v>225510000</v>
      </c>
      <c r="K245" s="2" t="n">
        <v>775900</v>
      </c>
      <c r="L245" s="2" t="n">
        <v>33070</v>
      </c>
      <c r="M245" s="2" t="n">
        <v>151840</v>
      </c>
      <c r="N245" s="2" t="n"/>
      <c r="O245" s="2" t="n">
        <v>4660000</v>
      </c>
      <c r="P245" s="2" t="n">
        <v>1130000</v>
      </c>
      <c r="Q245" s="2" t="n">
        <v>8630</v>
      </c>
      <c r="R245" s="2" t="n">
        <v>232250</v>
      </c>
      <c r="S245" s="2" t="n">
        <v>865540</v>
      </c>
      <c r="T245" s="2" t="n">
        <v>116580</v>
      </c>
      <c r="U245" s="2" t="n">
        <v>2670000</v>
      </c>
      <c r="V245" s="2" t="n">
        <v>988930</v>
      </c>
      <c r="W245" s="2" t="n">
        <v>203950</v>
      </c>
      <c r="X245" s="2" t="n">
        <v>154050</v>
      </c>
      <c r="Z245" s="2" t="n">
        <v>3800000</v>
      </c>
      <c r="AA245" s="2" t="n">
        <v>13210000</v>
      </c>
      <c r="AB245" s="2" t="n">
        <v>9760000</v>
      </c>
      <c r="AC245" s="2" t="n">
        <v>10160000</v>
      </c>
      <c r="AD245" s="2" t="n">
        <v>637140</v>
      </c>
      <c r="AE245" s="2" t="n">
        <v>69980</v>
      </c>
      <c r="AF245" s="2" t="n">
        <v>750830</v>
      </c>
    </row>
    <row r="246" ht="16" customHeight="1">
      <c r="A246" s="2" t="inlineStr">
        <is>
          <t>08/28/2025</t>
        </is>
      </c>
      <c r="B246" s="2" t="n">
        <v>53100</v>
      </c>
      <c r="C246" s="2" t="n">
        <v>187960</v>
      </c>
      <c r="D246" s="2" t="n">
        <v>19750</v>
      </c>
      <c r="E246" s="2" t="n">
        <v>8820000</v>
      </c>
      <c r="F246" s="2" t="n">
        <v>145930</v>
      </c>
      <c r="G246" s="2" t="n">
        <v>580020</v>
      </c>
      <c r="H246" s="2" t="n">
        <v>93980</v>
      </c>
      <c r="I246" s="2" t="n">
        <v>153920</v>
      </c>
      <c r="J246" s="2" t="n">
        <v>170080000</v>
      </c>
      <c r="K246" s="2" t="n">
        <v>874280</v>
      </c>
      <c r="L246" s="2" t="n">
        <v>44440</v>
      </c>
      <c r="M246" s="2" t="n">
        <v>342030</v>
      </c>
      <c r="N246" s="2" t="n"/>
      <c r="O246" s="2" t="n">
        <v>2220000</v>
      </c>
      <c r="P246" s="2" t="n">
        <v>1710000</v>
      </c>
      <c r="Q246" s="2" t="n">
        <v>16580</v>
      </c>
      <c r="R246" s="2" t="n">
        <v>121770</v>
      </c>
      <c r="S246" s="2" t="n">
        <v>701650</v>
      </c>
      <c r="T246" s="2" t="n">
        <v>28340</v>
      </c>
      <c r="U246" s="2" t="n">
        <v>4380000</v>
      </c>
      <c r="V246" s="2" t="n">
        <v>927270</v>
      </c>
      <c r="W246" s="2" t="n">
        <v>292130</v>
      </c>
      <c r="X246" s="2" t="n">
        <v>210760</v>
      </c>
      <c r="Z246" s="2" t="n">
        <v>3450000</v>
      </c>
      <c r="AA246" s="2" t="n">
        <v>11790000</v>
      </c>
      <c r="AB246" s="2" t="n">
        <v>9880000</v>
      </c>
      <c r="AC246" s="2" t="n">
        <v>8119999.999999999</v>
      </c>
      <c r="AD246" s="2" t="n">
        <v>630920</v>
      </c>
      <c r="AE246" s="2" t="n">
        <v>41380</v>
      </c>
      <c r="AF246" s="2" t="n">
        <v>529900</v>
      </c>
    </row>
    <row r="247" ht="16" customHeight="1">
      <c r="A247" s="2" t="inlineStr">
        <is>
          <t>08/27/2025</t>
        </is>
      </c>
      <c r="B247" s="2" t="n">
        <v>22790</v>
      </c>
      <c r="C247" s="2" t="n">
        <v>214770</v>
      </c>
      <c r="D247" s="2" t="n">
        <v>24400</v>
      </c>
      <c r="E247" s="2" t="n">
        <v>7380000</v>
      </c>
      <c r="F247" s="2" t="n">
        <v>186440</v>
      </c>
      <c r="G247" s="2" t="n">
        <v>506820</v>
      </c>
      <c r="H247" s="2" t="n">
        <v>88690</v>
      </c>
      <c r="I247" s="2" t="n">
        <v>200610</v>
      </c>
      <c r="J247" s="2" t="n">
        <v>151690000</v>
      </c>
      <c r="K247" s="2" t="n">
        <v>913710</v>
      </c>
      <c r="L247" s="2" t="n">
        <v>34410</v>
      </c>
      <c r="M247" s="2" t="n">
        <v>224120</v>
      </c>
      <c r="N247" s="2" t="n"/>
      <c r="O247" s="2" t="n">
        <v>1660000</v>
      </c>
      <c r="P247" s="2" t="n">
        <v>2180000</v>
      </c>
      <c r="Q247" s="2" t="n">
        <v>10460</v>
      </c>
      <c r="R247" s="2" t="n">
        <v>133890</v>
      </c>
      <c r="S247" s="2" t="n">
        <v>445470</v>
      </c>
      <c r="T247" s="2" t="n">
        <v>24630</v>
      </c>
      <c r="U247" s="2" t="n">
        <v>3150000</v>
      </c>
      <c r="V247" s="2" t="n">
        <v>833930</v>
      </c>
      <c r="W247" s="2" t="n">
        <v>242280</v>
      </c>
      <c r="X247" s="2" t="n">
        <v>114950</v>
      </c>
      <c r="Z247" s="2" t="n">
        <v>4990000</v>
      </c>
      <c r="AA247" s="2" t="n">
        <v>11520000</v>
      </c>
      <c r="AB247" s="2" t="n">
        <v>8880000</v>
      </c>
      <c r="AC247" s="2" t="n">
        <v>8450000</v>
      </c>
      <c r="AD247" s="2" t="n">
        <v>621270</v>
      </c>
      <c r="AE247" s="2" t="n">
        <v>44410</v>
      </c>
      <c r="AF247" s="2" t="n">
        <v>660380</v>
      </c>
    </row>
    <row r="248" ht="16" customHeight="1">
      <c r="A248" s="2" t="inlineStr">
        <is>
          <t>08/26/2025</t>
        </is>
      </c>
      <c r="B248" s="2" t="n">
        <v>336560</v>
      </c>
      <c r="C248" s="2" t="n">
        <v>174640</v>
      </c>
      <c r="D248" s="2" t="n">
        <v>14860</v>
      </c>
      <c r="E248" s="2" t="n">
        <v>8740000</v>
      </c>
      <c r="F248" s="2" t="n">
        <v>173520</v>
      </c>
      <c r="G248" s="2" t="n">
        <v>355480</v>
      </c>
      <c r="H248" s="2" t="n">
        <v>65440</v>
      </c>
      <c r="I248" s="2" t="n">
        <v>142160</v>
      </c>
      <c r="J248" s="2" t="n">
        <v>191630000</v>
      </c>
      <c r="K248" s="2" t="n">
        <v>973850</v>
      </c>
      <c r="L248" s="2" t="n">
        <v>34210</v>
      </c>
      <c r="M248" s="2" t="n">
        <v>225680</v>
      </c>
      <c r="N248" s="2" t="n"/>
      <c r="O248" s="2" t="n">
        <v>1600000</v>
      </c>
      <c r="P248" s="2" t="n">
        <v>1610000</v>
      </c>
      <c r="Q248" s="2" t="n">
        <v>9460</v>
      </c>
      <c r="R248" s="2" t="n">
        <v>216730</v>
      </c>
      <c r="S248" s="2" t="n">
        <v>551880</v>
      </c>
      <c r="T248" s="2" t="n">
        <v>22020</v>
      </c>
      <c r="U248" s="2" t="n">
        <v>8410000</v>
      </c>
      <c r="V248" s="2" t="n">
        <v>1100000</v>
      </c>
      <c r="W248" s="2" t="n">
        <v>225050</v>
      </c>
      <c r="X248" s="2" t="n">
        <v>118810</v>
      </c>
      <c r="Z248" s="2" t="n">
        <v>4090000</v>
      </c>
      <c r="AA248" s="2" t="n">
        <v>16410000</v>
      </c>
      <c r="AB248" s="2" t="n">
        <v>9710000</v>
      </c>
      <c r="AC248" s="2" t="n">
        <v>9140000</v>
      </c>
      <c r="AD248" s="2" t="n">
        <v>724240</v>
      </c>
      <c r="AE248" s="2" t="n">
        <v>62080</v>
      </c>
      <c r="AF248" s="2" t="n">
        <v>899030</v>
      </c>
    </row>
    <row r="249" ht="16" customHeight="1">
      <c r="A249" s="2" t="inlineStr">
        <is>
          <t>08/25/2025</t>
        </is>
      </c>
      <c r="B249" s="2" t="n">
        <v>329080</v>
      </c>
      <c r="C249" s="2" t="n">
        <v>172740</v>
      </c>
      <c r="D249" s="2" t="n">
        <v>15470</v>
      </c>
      <c r="E249" s="2" t="n">
        <v>13560000</v>
      </c>
      <c r="F249" s="2" t="n">
        <v>238330</v>
      </c>
      <c r="G249" s="2" t="n">
        <v>566100</v>
      </c>
      <c r="H249" s="2" t="n">
        <v>54240</v>
      </c>
      <c r="I249" s="2" t="n">
        <v>136610</v>
      </c>
      <c r="J249" s="2" t="n">
        <v>249490000</v>
      </c>
      <c r="K249" s="2" t="n">
        <v>964220</v>
      </c>
      <c r="L249" s="2" t="n">
        <v>145450</v>
      </c>
      <c r="M249" s="2" t="n">
        <v>336890</v>
      </c>
      <c r="N249" s="2" t="n"/>
      <c r="O249" s="2" t="n">
        <v>1280000</v>
      </c>
      <c r="P249" s="2" t="n">
        <v>1100000</v>
      </c>
      <c r="Q249" s="2" t="n">
        <v>40620</v>
      </c>
      <c r="R249" s="2" t="n">
        <v>239020</v>
      </c>
      <c r="S249" s="2" t="n">
        <v>544070</v>
      </c>
      <c r="T249" s="2" t="n">
        <v>44700</v>
      </c>
      <c r="U249" s="2" t="n">
        <v>3150000</v>
      </c>
      <c r="V249" s="2" t="n">
        <v>1350000</v>
      </c>
      <c r="W249" s="2" t="n">
        <v>307160</v>
      </c>
      <c r="X249" s="2" t="n">
        <v>221860</v>
      </c>
      <c r="Z249" s="2" t="n">
        <v>3190000</v>
      </c>
      <c r="AA249" s="2" t="n">
        <v>12610000</v>
      </c>
      <c r="AB249" s="2" t="n">
        <v>8279999.999999999</v>
      </c>
      <c r="AC249" s="2" t="n">
        <v>10980000</v>
      </c>
      <c r="AD249" s="2" t="n">
        <v>698770</v>
      </c>
      <c r="AE249" s="2" t="n">
        <v>76940</v>
      </c>
      <c r="AF249" s="2" t="n">
        <v>1120000</v>
      </c>
    </row>
    <row r="250" ht="16" customHeight="1">
      <c r="A250" s="2" t="inlineStr">
        <is>
          <t>08/24/2025</t>
        </is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>
        <v>135530000</v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Z250" s="2" t="n"/>
      <c r="AA250" s="2" t="n"/>
      <c r="AB250" s="2" t="n"/>
      <c r="AC250" s="2" t="n"/>
      <c r="AD250" s="2" t="n"/>
      <c r="AE250" s="2" t="n">
        <v>64879.99999999999</v>
      </c>
      <c r="AF250" s="2" t="n">
        <v>845370</v>
      </c>
    </row>
    <row r="251" ht="16" customHeight="1">
      <c r="A251" s="2" t="inlineStr">
        <is>
          <t>08/23/2025</t>
        </is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>
        <v>116270000</v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Z251" s="2" t="n"/>
      <c r="AA251" s="2" t="n"/>
      <c r="AB251" s="2" t="n"/>
      <c r="AC251" s="2" t="n"/>
      <c r="AD251" s="2" t="n"/>
      <c r="AE251" s="2" t="n">
        <v>39630</v>
      </c>
      <c r="AF251" s="2" t="n">
        <v>549580</v>
      </c>
    </row>
    <row r="252" ht="16" customHeight="1">
      <c r="A252" s="2" t="inlineStr">
        <is>
          <t>08/22/2025</t>
        </is>
      </c>
      <c r="B252" s="2" t="n">
        <v>324390</v>
      </c>
      <c r="C252" s="2" t="n">
        <v>203850</v>
      </c>
      <c r="D252" s="2" t="n">
        <v>8380</v>
      </c>
      <c r="E252" s="2" t="n">
        <v>13160000</v>
      </c>
      <c r="F252" s="2" t="n">
        <v>378670</v>
      </c>
      <c r="G252" s="2" t="n">
        <v>722540</v>
      </c>
      <c r="H252" s="2" t="n">
        <v>124060</v>
      </c>
      <c r="I252" s="2" t="n">
        <v>436200</v>
      </c>
      <c r="J252" s="2" t="n">
        <v>257710000</v>
      </c>
      <c r="K252" s="2" t="n">
        <v>736440</v>
      </c>
      <c r="L252" s="2" t="n">
        <v>61260</v>
      </c>
      <c r="M252" s="2" t="n">
        <v>250630</v>
      </c>
      <c r="N252" s="2" t="n"/>
      <c r="O252" s="2" t="n">
        <v>2710000</v>
      </c>
      <c r="P252" s="2" t="n">
        <v>1050000</v>
      </c>
      <c r="Q252" s="2" t="n">
        <v>15740</v>
      </c>
      <c r="R252" s="2" t="n">
        <v>153850</v>
      </c>
      <c r="S252" s="2" t="n">
        <v>520740</v>
      </c>
      <c r="T252" s="2" t="n">
        <v>26770</v>
      </c>
      <c r="U252" s="2" t="n">
        <v>6750000</v>
      </c>
      <c r="V252" s="2" t="n">
        <v>1510000</v>
      </c>
      <c r="W252" s="2" t="n">
        <v>218420</v>
      </c>
      <c r="X252" s="2" t="n">
        <v>193380</v>
      </c>
      <c r="Z252" s="2" t="n">
        <v>3690000</v>
      </c>
      <c r="AA252" s="2" t="n">
        <v>15120000</v>
      </c>
      <c r="AB252" s="2" t="n">
        <v>6190000</v>
      </c>
      <c r="AC252" s="2" t="n">
        <v>17390000</v>
      </c>
      <c r="AD252" s="2" t="n">
        <v>676160</v>
      </c>
      <c r="AE252" s="2" t="n">
        <v>72830</v>
      </c>
      <c r="AF252" s="2" t="n">
        <v>1380000</v>
      </c>
    </row>
    <row r="253" ht="16" customHeight="1">
      <c r="A253" s="2" t="inlineStr">
        <is>
          <t>08/21/2025</t>
        </is>
      </c>
      <c r="B253" s="2" t="n">
        <v>400350</v>
      </c>
      <c r="C253" s="2" t="n">
        <v>158090</v>
      </c>
      <c r="D253" s="2" t="n">
        <v>10390</v>
      </c>
      <c r="E253" s="2" t="n">
        <v>8770000</v>
      </c>
      <c r="F253" s="2" t="n">
        <v>143220</v>
      </c>
      <c r="G253" s="2" t="n">
        <v>419930</v>
      </c>
      <c r="H253" s="2" t="n">
        <v>104020</v>
      </c>
      <c r="I253" s="2" t="n">
        <v>135690</v>
      </c>
      <c r="J253" s="2" t="n">
        <v>48060000</v>
      </c>
      <c r="K253" s="2" t="n">
        <v>878360</v>
      </c>
      <c r="L253" s="2" t="n">
        <v>35340</v>
      </c>
      <c r="M253" s="2" t="n">
        <v>167000</v>
      </c>
      <c r="N253" s="2" t="n"/>
      <c r="O253" s="2" t="n">
        <v>1490000</v>
      </c>
      <c r="P253" s="2" t="n">
        <v>1010000</v>
      </c>
      <c r="Q253" s="2" t="n">
        <v>10030</v>
      </c>
      <c r="R253" s="2" t="n">
        <v>139050</v>
      </c>
      <c r="S253" s="2" t="n">
        <v>374260</v>
      </c>
      <c r="T253" s="2" t="n">
        <v>33090</v>
      </c>
      <c r="U253" s="2" t="n">
        <v>3430000</v>
      </c>
      <c r="V253" s="2" t="n">
        <v>918400</v>
      </c>
      <c r="W253" s="2" t="n">
        <v>233040</v>
      </c>
      <c r="X253" s="2" t="n">
        <v>446010</v>
      </c>
      <c r="Z253" s="2" t="n">
        <v>6260000</v>
      </c>
      <c r="AA253" s="2" t="n">
        <v>9870000</v>
      </c>
      <c r="AB253" s="2" t="n">
        <v>7920000</v>
      </c>
      <c r="AC253" s="2" t="n">
        <v>8400000</v>
      </c>
      <c r="AD253" s="2" t="n">
        <v>464590</v>
      </c>
      <c r="AE253" s="2" t="n">
        <v>43000</v>
      </c>
      <c r="AF253" s="2" t="n">
        <v>481100</v>
      </c>
    </row>
    <row r="254" ht="16" customHeight="1">
      <c r="A254" s="2" t="inlineStr">
        <is>
          <t>08/20/2025</t>
        </is>
      </c>
      <c r="B254" s="2" t="n">
        <v>370270</v>
      </c>
      <c r="C254" s="2" t="n">
        <v>209800</v>
      </c>
      <c r="D254" s="2" t="n">
        <v>12090</v>
      </c>
      <c r="E254" s="2" t="n">
        <v>10920000</v>
      </c>
      <c r="F254" s="2" t="n">
        <v>404220</v>
      </c>
      <c r="G254" s="2" t="n">
        <v>821920</v>
      </c>
      <c r="H254" s="2" t="n">
        <v>186290</v>
      </c>
      <c r="I254" s="2" t="n">
        <v>400000</v>
      </c>
      <c r="J254" s="2" t="n">
        <v>80660000</v>
      </c>
      <c r="K254" s="2" t="n">
        <v>909290</v>
      </c>
      <c r="L254" s="2" t="n">
        <v>65239.99999999999</v>
      </c>
      <c r="M254" s="2" t="n">
        <v>245660</v>
      </c>
      <c r="N254" s="2" t="n"/>
      <c r="O254" s="2" t="n">
        <v>1150000</v>
      </c>
      <c r="P254" s="2" t="n">
        <v>1090000</v>
      </c>
      <c r="Q254" s="2" t="n">
        <v>24750</v>
      </c>
      <c r="R254" s="2" t="n">
        <v>337030</v>
      </c>
      <c r="S254" s="2" t="n">
        <v>418990</v>
      </c>
      <c r="T254" s="2" t="n">
        <v>36490</v>
      </c>
      <c r="U254" s="2" t="n">
        <v>3700000</v>
      </c>
      <c r="V254" s="2" t="n">
        <v>1780000</v>
      </c>
      <c r="W254" s="2" t="n">
        <v>220560</v>
      </c>
      <c r="X254" s="2" t="n">
        <v>1160000</v>
      </c>
      <c r="Z254" s="2" t="n">
        <v>5470000</v>
      </c>
      <c r="AA254" s="2" t="n">
        <v>16730000</v>
      </c>
      <c r="AB254" s="2" t="n">
        <v>9370000</v>
      </c>
      <c r="AC254" s="2" t="n">
        <v>13810000</v>
      </c>
      <c r="AD254" s="2" t="n">
        <v>730100</v>
      </c>
      <c r="AE254" s="2" t="n">
        <v>54630</v>
      </c>
      <c r="AF254" s="2" t="n">
        <v>775520</v>
      </c>
    </row>
    <row r="255" ht="16" customHeight="1">
      <c r="A255" s="2" t="inlineStr">
        <is>
          <t>08/19/2025</t>
        </is>
      </c>
      <c r="B255" s="2" t="n">
        <v>29210</v>
      </c>
      <c r="C255" s="2" t="n">
        <v>177420</v>
      </c>
      <c r="D255" s="2" t="n">
        <v>10710</v>
      </c>
      <c r="E255" s="2" t="n">
        <v>10470000</v>
      </c>
      <c r="F255" s="2" t="n">
        <v>416150</v>
      </c>
      <c r="G255" s="2" t="n">
        <v>1310000</v>
      </c>
      <c r="H255" s="2" t="n">
        <v>214840</v>
      </c>
      <c r="I255" s="2" t="n">
        <v>236900</v>
      </c>
      <c r="J255" s="2" t="n">
        <v>90390000</v>
      </c>
      <c r="K255" s="2" t="n">
        <v>1050000</v>
      </c>
      <c r="L255" s="2" t="n">
        <v>222920</v>
      </c>
      <c r="M255" s="2" t="n">
        <v>144910</v>
      </c>
      <c r="N255" s="2" t="n"/>
      <c r="O255" s="2" t="n">
        <v>1460000</v>
      </c>
      <c r="P255" s="2" t="n">
        <v>1030000</v>
      </c>
      <c r="Q255" s="2" t="n">
        <v>10040</v>
      </c>
      <c r="R255" s="2" t="n">
        <v>525170</v>
      </c>
      <c r="S255" s="2" t="n">
        <v>330860</v>
      </c>
      <c r="T255" s="2" t="n">
        <v>47200</v>
      </c>
      <c r="U255" s="2" t="n">
        <v>3980000</v>
      </c>
      <c r="V255" s="2" t="n">
        <v>1820000</v>
      </c>
      <c r="W255" s="2" t="n">
        <v>207520</v>
      </c>
      <c r="X255" s="2" t="n">
        <v>232460</v>
      </c>
      <c r="Z255" s="2" t="n">
        <v>3130000</v>
      </c>
      <c r="AA255" s="2" t="n">
        <v>13000000</v>
      </c>
      <c r="AB255" s="2" t="n">
        <v>6600000</v>
      </c>
      <c r="AC255" s="2" t="n">
        <v>18250000</v>
      </c>
      <c r="AD255" s="2" t="n">
        <v>830900</v>
      </c>
      <c r="AE255" s="2" t="n">
        <v>62150</v>
      </c>
      <c r="AF255" s="2" t="n">
        <v>886220</v>
      </c>
    </row>
    <row r="256" ht="16" customHeight="1">
      <c r="A256" s="2" t="inlineStr">
        <is>
          <t>08/18/2025</t>
        </is>
      </c>
      <c r="B256" s="2" t="n">
        <v>51180</v>
      </c>
      <c r="C256" s="2" t="n">
        <v>209590</v>
      </c>
      <c r="D256" s="2" t="n">
        <v>13820</v>
      </c>
      <c r="E256" s="2" t="n">
        <v>14770000</v>
      </c>
      <c r="F256" s="2" t="n">
        <v>260480</v>
      </c>
      <c r="G256" s="2" t="n">
        <v>715330</v>
      </c>
      <c r="H256" s="2" t="n">
        <v>135440</v>
      </c>
      <c r="I256" s="2" t="n">
        <v>176390</v>
      </c>
      <c r="J256" s="2" t="n">
        <v>84450000</v>
      </c>
      <c r="K256" s="2" t="n">
        <v>1230000</v>
      </c>
      <c r="L256" s="2" t="n">
        <v>248620</v>
      </c>
      <c r="M256" s="2" t="n">
        <v>297860</v>
      </c>
      <c r="N256" s="2" t="n"/>
      <c r="O256" s="2" t="n">
        <v>1510000</v>
      </c>
      <c r="P256" s="2" t="n">
        <v>1380000</v>
      </c>
      <c r="Q256" s="2" t="n">
        <v>18750</v>
      </c>
      <c r="R256" s="2" t="n">
        <v>707650</v>
      </c>
      <c r="S256" s="2" t="n">
        <v>526410</v>
      </c>
      <c r="T256" s="2" t="n">
        <v>20830</v>
      </c>
      <c r="U256" s="2" t="n">
        <v>4140000</v>
      </c>
      <c r="V256" s="2" t="n">
        <v>1120000</v>
      </c>
      <c r="W256" s="2" t="n">
        <v>283170</v>
      </c>
      <c r="X256" s="2" t="n">
        <v>247370</v>
      </c>
      <c r="Z256" s="2" t="n">
        <v>3540000</v>
      </c>
      <c r="AA256" s="2" t="n">
        <v>12750000</v>
      </c>
      <c r="AB256" s="2" t="n">
        <v>7860000</v>
      </c>
      <c r="AC256" s="2" t="n">
        <v>9000000</v>
      </c>
      <c r="AD256" s="2" t="n">
        <v>654920</v>
      </c>
      <c r="AE256" s="2" t="n">
        <v>58820</v>
      </c>
      <c r="AF256" s="2" t="n">
        <v>886810</v>
      </c>
    </row>
    <row r="257" ht="16" customHeight="1">
      <c r="A257" s="2" t="inlineStr">
        <is>
          <t>08/17/2025</t>
        </is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>
        <v>37200000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Z257" s="2" t="n"/>
      <c r="AA257" s="2" t="n"/>
      <c r="AB257" s="2" t="n"/>
      <c r="AC257" s="2" t="n"/>
      <c r="AD257" s="2" t="n"/>
      <c r="AE257" s="2" t="n">
        <v>21870</v>
      </c>
      <c r="AF257" s="2" t="n">
        <v>471900</v>
      </c>
    </row>
    <row r="258" ht="16" customHeight="1">
      <c r="A258" s="2" t="inlineStr">
        <is>
          <t>08/16/2025</t>
        </is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>
        <v>37240000</v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Z258" s="2" t="n"/>
      <c r="AA258" s="2" t="n"/>
      <c r="AB258" s="2" t="n"/>
      <c r="AC258" s="2" t="n"/>
      <c r="AD258" s="2" t="n"/>
      <c r="AE258" s="2" t="n">
        <v>25180</v>
      </c>
      <c r="AF258" s="2" t="n">
        <v>382870</v>
      </c>
    </row>
    <row r="259" ht="16" customHeight="1">
      <c r="A259" s="2" t="inlineStr">
        <is>
          <t>08/15/2025</t>
        </is>
      </c>
      <c r="B259" s="2" t="n"/>
      <c r="C259" s="2" t="n"/>
      <c r="D259" s="2" t="n"/>
      <c r="E259" s="2" t="n">
        <v>9490000</v>
      </c>
      <c r="F259" s="2" t="n">
        <v>172520</v>
      </c>
      <c r="G259" s="2" t="n">
        <v>650830</v>
      </c>
      <c r="H259" s="2" t="n">
        <v>109440</v>
      </c>
      <c r="I259" s="2" t="n">
        <v>199560</v>
      </c>
      <c r="J259" s="2" t="n">
        <v>112590000</v>
      </c>
      <c r="K259" s="2" t="n"/>
      <c r="L259" s="2" t="n"/>
      <c r="M259" s="2" t="n"/>
      <c r="N259" s="2" t="n"/>
      <c r="O259" s="2" t="n">
        <v>1180000</v>
      </c>
      <c r="P259" s="2" t="n">
        <v>1710000</v>
      </c>
      <c r="Q259" s="2" t="n"/>
      <c r="R259" s="2" t="n"/>
      <c r="S259" s="2" t="n"/>
      <c r="T259" s="2" t="n"/>
      <c r="U259" s="2" t="n"/>
      <c r="V259" s="2" t="n"/>
      <c r="W259" s="2" t="n"/>
      <c r="X259" s="2" t="n"/>
      <c r="Z259" s="2" t="n">
        <v>2550000</v>
      </c>
      <c r="AA259" s="2" t="n">
        <v>14210000</v>
      </c>
      <c r="AB259" s="2" t="n">
        <v>6150000</v>
      </c>
      <c r="AC259" s="2" t="n">
        <v>13130000</v>
      </c>
      <c r="AD259" s="2" t="n">
        <v>637470</v>
      </c>
      <c r="AE259" s="2" t="n">
        <v>45230</v>
      </c>
      <c r="AF259" s="2" t="n">
        <v>940290</v>
      </c>
    </row>
    <row r="260" ht="16" customHeight="1">
      <c r="A260" s="2" t="inlineStr">
        <is>
          <t>08/14/2025</t>
        </is>
      </c>
      <c r="B260" s="2" t="n">
        <v>52300</v>
      </c>
      <c r="C260" s="2" t="n">
        <v>156870</v>
      </c>
      <c r="D260" s="2" t="n">
        <v>8200</v>
      </c>
      <c r="E260" s="2" t="n">
        <v>9800000</v>
      </c>
      <c r="F260" s="2" t="n">
        <v>285640</v>
      </c>
      <c r="G260" s="2" t="n">
        <v>822000</v>
      </c>
      <c r="H260" s="2" t="n">
        <v>85250</v>
      </c>
      <c r="I260" s="2" t="n">
        <v>155400</v>
      </c>
      <c r="J260" s="2" t="n">
        <v>230690000</v>
      </c>
      <c r="K260" s="2" t="n">
        <v>1040000</v>
      </c>
      <c r="L260" s="2" t="n">
        <v>213580</v>
      </c>
      <c r="M260" s="2" t="n">
        <v>185260</v>
      </c>
      <c r="N260" s="2" t="n"/>
      <c r="O260" s="2" t="n">
        <v>1390000</v>
      </c>
      <c r="P260" s="2" t="n">
        <v>937830</v>
      </c>
      <c r="Q260" s="2" t="n">
        <v>17570</v>
      </c>
      <c r="R260" s="2" t="n">
        <v>553330</v>
      </c>
      <c r="S260" s="2" t="n">
        <v>761630</v>
      </c>
      <c r="T260" s="2" t="n">
        <v>21650</v>
      </c>
      <c r="U260" s="2" t="n">
        <v>12520000</v>
      </c>
      <c r="V260" s="2" t="n">
        <v>1470000</v>
      </c>
      <c r="W260" s="2" t="n">
        <v>218200</v>
      </c>
      <c r="X260" s="2" t="n">
        <v>285320</v>
      </c>
      <c r="Z260" s="2" t="n">
        <v>2850000</v>
      </c>
      <c r="AA260" s="2" t="n">
        <v>14670000</v>
      </c>
      <c r="AB260" s="2" t="n">
        <v>5370000</v>
      </c>
      <c r="AC260" s="2" t="n">
        <v>16460000</v>
      </c>
      <c r="AD260" s="2" t="n">
        <v>644130</v>
      </c>
      <c r="AE260" s="2" t="n">
        <v>86590</v>
      </c>
      <c r="AF260" s="2" t="n">
        <v>1370000</v>
      </c>
    </row>
    <row r="261" ht="16" customHeight="1">
      <c r="A261" s="2" t="inlineStr">
        <is>
          <t>08/13/2025</t>
        </is>
      </c>
      <c r="B261" s="2" t="n">
        <v>60750</v>
      </c>
      <c r="C261" s="2" t="n">
        <v>150840</v>
      </c>
      <c r="D261" s="2" t="n">
        <v>9790</v>
      </c>
      <c r="E261" s="2" t="n">
        <v>12140000</v>
      </c>
      <c r="F261" s="2" t="n">
        <v>306090</v>
      </c>
      <c r="G261" s="2" t="n">
        <v>759060</v>
      </c>
      <c r="H261" s="2" t="n">
        <v>78800</v>
      </c>
      <c r="I261" s="2" t="n">
        <v>190740</v>
      </c>
      <c r="J261" s="2" t="n">
        <v>115010000</v>
      </c>
      <c r="K261" s="2" t="n">
        <v>1170000</v>
      </c>
      <c r="L261" s="2" t="n">
        <v>210650</v>
      </c>
      <c r="M261" s="2" t="n">
        <v>257420</v>
      </c>
      <c r="N261" s="2" t="n"/>
      <c r="O261" s="2" t="n">
        <v>1450000</v>
      </c>
      <c r="P261" s="2" t="n">
        <v>1030000</v>
      </c>
      <c r="Q261" s="2" t="n">
        <v>7580</v>
      </c>
      <c r="R261" s="2" t="n">
        <v>259330</v>
      </c>
      <c r="S261" s="2" t="n">
        <v>621850</v>
      </c>
      <c r="T261" s="2" t="n">
        <v>66210</v>
      </c>
      <c r="U261" s="2" t="n">
        <v>6820000</v>
      </c>
      <c r="V261" s="2" t="n">
        <v>2160000</v>
      </c>
      <c r="W261" s="2" t="n">
        <v>199480</v>
      </c>
      <c r="X261" s="2" t="n">
        <v>2500000</v>
      </c>
      <c r="Z261" s="2" t="n">
        <v>2520000</v>
      </c>
      <c r="AA261" s="2" t="n">
        <v>16080000</v>
      </c>
      <c r="AB261" s="2" t="n">
        <v>6820000</v>
      </c>
      <c r="AC261" s="2" t="n">
        <v>10880000</v>
      </c>
      <c r="AD261" s="2" t="n">
        <v>699930</v>
      </c>
      <c r="AE261" s="2" t="n">
        <v>76090</v>
      </c>
      <c r="AF261" s="2" t="n">
        <v>1010000</v>
      </c>
    </row>
    <row r="262" ht="16" customHeight="1">
      <c r="A262" s="2" t="inlineStr">
        <is>
          <t>08/12/2025</t>
        </is>
      </c>
      <c r="B262" s="2" t="n">
        <v>24880</v>
      </c>
      <c r="C262" s="2" t="n">
        <v>160860</v>
      </c>
      <c r="D262" s="2" t="n">
        <v>12960</v>
      </c>
      <c r="E262" s="2" t="n">
        <v>13080000</v>
      </c>
      <c r="F262" s="2" t="n">
        <v>325710</v>
      </c>
      <c r="G262" s="2" t="n">
        <v>821510</v>
      </c>
      <c r="H262" s="2" t="n">
        <v>119550</v>
      </c>
      <c r="I262" s="2" t="n">
        <v>191480</v>
      </c>
      <c r="J262" s="2" t="n">
        <v>136860000</v>
      </c>
      <c r="K262" s="2" t="n">
        <v>1330000</v>
      </c>
      <c r="L262" s="2" t="n">
        <v>172680</v>
      </c>
      <c r="M262" s="2" t="n">
        <v>176290</v>
      </c>
      <c r="N262" s="2" t="n"/>
      <c r="O262" s="2" t="n">
        <v>2360000</v>
      </c>
      <c r="P262" s="2" t="n">
        <v>1280000</v>
      </c>
      <c r="Q262" s="2" t="n">
        <v>13900</v>
      </c>
      <c r="R262" s="2" t="n">
        <v>384440</v>
      </c>
      <c r="S262" s="2" t="n">
        <v>615260</v>
      </c>
      <c r="T262" s="2" t="n">
        <v>55850</v>
      </c>
      <c r="U262" s="2" t="n">
        <v>11200000</v>
      </c>
      <c r="V262" s="2" t="n">
        <v>1560000</v>
      </c>
      <c r="W262" s="2" t="n">
        <v>180660</v>
      </c>
      <c r="X262" s="2" t="n">
        <v>744760</v>
      </c>
      <c r="Z262" s="2" t="n">
        <v>3370000</v>
      </c>
      <c r="AA262" s="2" t="n">
        <v>13900000</v>
      </c>
      <c r="AB262" s="2" t="n">
        <v>7750000</v>
      </c>
      <c r="AC262" s="2" t="n">
        <v>8369999.999999999</v>
      </c>
      <c r="AD262" s="2" t="n">
        <v>613090</v>
      </c>
      <c r="AE262" s="2" t="n">
        <v>56860</v>
      </c>
      <c r="AF262" s="2" t="n">
        <v>972250</v>
      </c>
    </row>
    <row r="263" ht="16" customHeight="1">
      <c r="A263" s="2" t="inlineStr">
        <is>
          <t>08/11/2025</t>
        </is>
      </c>
      <c r="B263" s="2" t="n">
        <v>32630</v>
      </c>
      <c r="C263" s="2" t="n">
        <v>167220</v>
      </c>
      <c r="D263" s="2" t="n">
        <v>8800</v>
      </c>
      <c r="E263" s="2" t="n">
        <v>12940000</v>
      </c>
      <c r="F263" s="2" t="n">
        <v>261710</v>
      </c>
      <c r="G263" s="2" t="n">
        <v>1360000</v>
      </c>
      <c r="H263" s="2" t="n">
        <v>207560</v>
      </c>
      <c r="I263" s="2" t="n">
        <v>171210</v>
      </c>
      <c r="J263" s="2" t="n">
        <v>151120000</v>
      </c>
      <c r="K263" s="2" t="n">
        <v>1700000</v>
      </c>
      <c r="L263" s="2" t="n">
        <v>200690</v>
      </c>
      <c r="M263" s="2" t="n">
        <v>145930</v>
      </c>
      <c r="N263" s="2" t="n"/>
      <c r="O263" s="2" t="n">
        <v>973010</v>
      </c>
      <c r="P263" s="2" t="n">
        <v>1150000</v>
      </c>
      <c r="Q263" s="2" t="n">
        <v>17630</v>
      </c>
      <c r="R263" s="2" t="n">
        <v>482330</v>
      </c>
      <c r="S263" s="2" t="n">
        <v>600550</v>
      </c>
      <c r="T263" s="2" t="n">
        <v>41740</v>
      </c>
      <c r="U263" s="2" t="n">
        <v>5990000</v>
      </c>
      <c r="V263" s="2" t="n">
        <v>1160000</v>
      </c>
      <c r="W263" s="2" t="n">
        <v>242730</v>
      </c>
      <c r="X263" s="2" t="n">
        <v>134240</v>
      </c>
      <c r="Z263" s="2" t="n">
        <v>2000000</v>
      </c>
      <c r="AA263" s="2" t="n">
        <v>17460000</v>
      </c>
      <c r="AB263" s="2" t="n">
        <v>7610000</v>
      </c>
      <c r="AC263" s="2" t="n">
        <v>10390000</v>
      </c>
      <c r="AD263" s="2" t="n">
        <v>641040</v>
      </c>
      <c r="AE263" s="2" t="n">
        <v>81130</v>
      </c>
      <c r="AF263" s="2" t="n">
        <v>791470</v>
      </c>
    </row>
    <row r="264" ht="16" customHeight="1">
      <c r="A264" s="2" t="inlineStr">
        <is>
          <t>08/10/2025</t>
        </is>
      </c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>
        <v>96290000</v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Z264" s="2" t="n"/>
      <c r="AA264" s="2" t="n"/>
      <c r="AB264" s="2" t="n"/>
      <c r="AC264" s="2" t="n"/>
      <c r="AD264" s="2" t="n"/>
      <c r="AE264" s="2" t="n">
        <v>46650</v>
      </c>
      <c r="AF264" s="2" t="n">
        <v>534670</v>
      </c>
    </row>
    <row r="265" ht="16" customHeight="1">
      <c r="A265" s="2" t="inlineStr">
        <is>
          <t>08/09/2025</t>
        </is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>
        <v>78560000</v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Z265" s="2" t="n"/>
      <c r="AA265" s="2" t="n"/>
      <c r="AB265" s="2" t="n"/>
      <c r="AC265" s="2" t="n"/>
      <c r="AD265" s="2" t="n"/>
      <c r="AE265" s="2" t="n">
        <v>34330</v>
      </c>
      <c r="AF265" s="2" t="n">
        <v>759170</v>
      </c>
    </row>
    <row r="266" ht="16" customHeight="1">
      <c r="A266" s="2" t="inlineStr">
        <is>
          <t>08/08/2025</t>
        </is>
      </c>
      <c r="B266" s="2" t="n">
        <v>366470</v>
      </c>
      <c r="C266" s="2" t="n">
        <v>140450</v>
      </c>
      <c r="D266" s="2" t="n">
        <v>8920</v>
      </c>
      <c r="E266" s="2" t="n">
        <v>12070000</v>
      </c>
      <c r="F266" s="2" t="n">
        <v>134290</v>
      </c>
      <c r="G266" s="2" t="n">
        <v>825980</v>
      </c>
      <c r="H266" s="2" t="n">
        <v>96170</v>
      </c>
      <c r="I266" s="2" t="n">
        <v>140430</v>
      </c>
      <c r="J266" s="2" t="n">
        <v>111730000</v>
      </c>
      <c r="K266" s="2" t="n">
        <v>2160000</v>
      </c>
      <c r="L266" s="2" t="n">
        <v>206870</v>
      </c>
      <c r="M266" s="2" t="n">
        <v>237840</v>
      </c>
      <c r="N266" s="2" t="n"/>
      <c r="O266" s="2" t="n">
        <v>854230</v>
      </c>
      <c r="P266" s="2" t="n">
        <v>1270000</v>
      </c>
      <c r="Q266" s="2" t="n">
        <v>16070</v>
      </c>
      <c r="R266" s="2" t="n">
        <v>285060</v>
      </c>
      <c r="S266" s="2" t="n">
        <v>531420</v>
      </c>
      <c r="T266" s="2" t="n">
        <v>81700</v>
      </c>
      <c r="U266" s="2" t="n">
        <v>5500000</v>
      </c>
      <c r="V266" s="2" t="n">
        <v>1710000</v>
      </c>
      <c r="W266" s="2" t="n">
        <v>181950</v>
      </c>
      <c r="X266" s="2" t="n">
        <v>140750</v>
      </c>
      <c r="Z266" s="2" t="n">
        <v>2040000</v>
      </c>
      <c r="AA266" s="2" t="n">
        <v>13660000</v>
      </c>
      <c r="AB266" s="2" t="n">
        <v>5190000</v>
      </c>
      <c r="AC266" s="2" t="n">
        <v>11200000</v>
      </c>
      <c r="AD266" s="2" t="n">
        <v>571380</v>
      </c>
      <c r="AE266" s="2" t="n">
        <v>39880</v>
      </c>
      <c r="AF266" s="2" t="n">
        <v>809060</v>
      </c>
    </row>
    <row r="267" ht="16" customHeight="1">
      <c r="A267" s="2" t="inlineStr">
        <is>
          <t>08/07/2025</t>
        </is>
      </c>
      <c r="B267" s="2" t="n">
        <v>392760</v>
      </c>
      <c r="C267" s="2" t="n">
        <v>182010</v>
      </c>
      <c r="D267" s="2" t="n">
        <v>6370</v>
      </c>
      <c r="E267" s="2" t="n">
        <v>10820000</v>
      </c>
      <c r="F267" s="2" t="n">
        <v>216920</v>
      </c>
      <c r="G267" s="2" t="n">
        <v>1290000</v>
      </c>
      <c r="H267" s="2" t="n">
        <v>135770</v>
      </c>
      <c r="I267" s="2" t="n">
        <v>212270</v>
      </c>
      <c r="J267" s="2" t="n">
        <v>100760000</v>
      </c>
      <c r="K267" s="2" t="n">
        <v>923770</v>
      </c>
      <c r="L267" s="2" t="n">
        <v>210000</v>
      </c>
      <c r="M267" s="2" t="n">
        <v>283760</v>
      </c>
      <c r="N267" s="2" t="n"/>
      <c r="O267" s="2" t="n">
        <v>2450000</v>
      </c>
      <c r="P267" s="2" t="n">
        <v>1070000</v>
      </c>
      <c r="Q267" s="2" t="n">
        <v>12760</v>
      </c>
      <c r="R267" s="2" t="n">
        <v>335580</v>
      </c>
      <c r="S267" s="2" t="n">
        <v>698800</v>
      </c>
      <c r="T267" s="2" t="n">
        <v>39030</v>
      </c>
      <c r="U267" s="2" t="n">
        <v>7430000</v>
      </c>
      <c r="V267" s="2" t="n">
        <v>2350000</v>
      </c>
      <c r="W267" s="2" t="n">
        <v>262800</v>
      </c>
      <c r="X267" s="2" t="n">
        <v>208480</v>
      </c>
      <c r="Z267" s="2" t="n">
        <v>3010000</v>
      </c>
      <c r="AA267" s="2" t="n">
        <v>13400000</v>
      </c>
      <c r="AB267" s="2" t="n">
        <v>7120000</v>
      </c>
      <c r="AC267" s="2" t="n">
        <v>13050000</v>
      </c>
      <c r="AD267" s="2" t="n">
        <v>772090</v>
      </c>
      <c r="AE267" s="2" t="n">
        <v>47520</v>
      </c>
      <c r="AF267" s="2" t="n">
        <v>688920</v>
      </c>
    </row>
    <row r="268" ht="16" customHeight="1">
      <c r="A268" s="2" t="inlineStr">
        <is>
          <t>08/06/2025</t>
        </is>
      </c>
      <c r="B268" s="2" t="n">
        <v>365670</v>
      </c>
      <c r="C268" s="2" t="n">
        <v>217330</v>
      </c>
      <c r="D268" s="2" t="n">
        <v>15040</v>
      </c>
      <c r="E268" s="2" t="n">
        <v>10650000</v>
      </c>
      <c r="F268" s="2" t="n">
        <v>127530</v>
      </c>
      <c r="G268" s="2" t="n">
        <v>1350000</v>
      </c>
      <c r="H268" s="2" t="n">
        <v>135020</v>
      </c>
      <c r="I268" s="2" t="n">
        <v>157450</v>
      </c>
      <c r="J268" s="2" t="n">
        <v>65010000.00000001</v>
      </c>
      <c r="K268" s="2" t="n">
        <v>807040</v>
      </c>
      <c r="L268" s="2" t="n">
        <v>221690</v>
      </c>
      <c r="M268" s="2" t="n">
        <v>244630</v>
      </c>
      <c r="N268" s="2" t="n"/>
      <c r="O268" s="2" t="n">
        <v>3490000</v>
      </c>
      <c r="P268" s="2" t="n">
        <v>970990</v>
      </c>
      <c r="Q268" s="2" t="n">
        <v>17370</v>
      </c>
      <c r="R268" s="2" t="n">
        <v>1280000</v>
      </c>
      <c r="S268" s="2" t="n">
        <v>658580</v>
      </c>
      <c r="T268" s="2" t="n">
        <v>71080</v>
      </c>
      <c r="U268" s="2" t="n">
        <v>8620000</v>
      </c>
      <c r="V268" s="2" t="n">
        <v>1010000</v>
      </c>
      <c r="W268" s="2" t="n">
        <v>207810</v>
      </c>
      <c r="X268" s="2" t="n">
        <v>174910</v>
      </c>
      <c r="Z268" s="2" t="n">
        <v>3820000</v>
      </c>
      <c r="AA268" s="2" t="n">
        <v>16560000</v>
      </c>
      <c r="AB268" s="2" t="n">
        <v>13980000</v>
      </c>
      <c r="AC268" s="2" t="n">
        <v>7240000</v>
      </c>
      <c r="AD268" s="2" t="n">
        <v>728420</v>
      </c>
      <c r="AE268" s="2" t="n">
        <v>34730</v>
      </c>
      <c r="AF268" s="2" t="n">
        <v>401220</v>
      </c>
    </row>
    <row r="269" ht="16" customHeight="1">
      <c r="A269" s="2" t="inlineStr">
        <is>
          <t>08/05/2025</t>
        </is>
      </c>
      <c r="B269" s="2" t="n">
        <v>336640</v>
      </c>
      <c r="C269" s="2" t="n">
        <v>148750</v>
      </c>
      <c r="D269" s="2" t="n">
        <v>24100</v>
      </c>
      <c r="E269" s="2" t="n">
        <v>12350000</v>
      </c>
      <c r="F269" s="2" t="n">
        <v>120340</v>
      </c>
      <c r="G269" s="2" t="n">
        <v>1410000</v>
      </c>
      <c r="H269" s="2" t="n">
        <v>168870</v>
      </c>
      <c r="I269" s="2" t="n">
        <v>124500</v>
      </c>
      <c r="J269" s="2" t="n">
        <v>65300000</v>
      </c>
      <c r="K269" s="2" t="n">
        <v>1170000</v>
      </c>
      <c r="L269" s="2" t="n">
        <v>190820</v>
      </c>
      <c r="M269" s="2" t="n">
        <v>318490</v>
      </c>
      <c r="N269" s="2" t="n"/>
      <c r="O269" s="2" t="n">
        <v>1630000</v>
      </c>
      <c r="P269" s="2" t="n">
        <v>1150000</v>
      </c>
      <c r="Q269" s="2" t="n">
        <v>18150</v>
      </c>
      <c r="R269" s="2" t="n">
        <v>1210000</v>
      </c>
      <c r="S269" s="2" t="n">
        <v>832780</v>
      </c>
      <c r="T269" s="2" t="n">
        <v>34730</v>
      </c>
      <c r="U269" s="2" t="n">
        <v>7840000</v>
      </c>
      <c r="V269" s="2" t="n">
        <v>1110000</v>
      </c>
      <c r="W269" s="2" t="n">
        <v>234740</v>
      </c>
      <c r="X269" s="2" t="n">
        <v>481150</v>
      </c>
      <c r="Z269" s="2" t="n">
        <v>3740000</v>
      </c>
      <c r="AA269" s="2" t="n">
        <v>15670000</v>
      </c>
      <c r="AB269" s="2" t="n">
        <v>7190000</v>
      </c>
      <c r="AC269" s="2" t="n">
        <v>8470000</v>
      </c>
      <c r="AD269" s="2" t="n">
        <v>518850</v>
      </c>
      <c r="AE269" s="2" t="n">
        <v>41410</v>
      </c>
      <c r="AF269" s="2" t="n">
        <v>528410</v>
      </c>
    </row>
    <row r="270" ht="16" customHeight="1">
      <c r="A270" s="2" t="inlineStr">
        <is>
          <t>08/04/2025</t>
        </is>
      </c>
      <c r="B270" s="2" t="n">
        <v>340010</v>
      </c>
      <c r="C270" s="2" t="n">
        <v>417550</v>
      </c>
      <c r="D270" s="2" t="n">
        <v>21930</v>
      </c>
      <c r="E270" s="2" t="n">
        <v>14770000</v>
      </c>
      <c r="F270" s="2" t="n">
        <v>195980</v>
      </c>
      <c r="G270" s="2" t="n">
        <v>1450000</v>
      </c>
      <c r="H270" s="2" t="n">
        <v>95160</v>
      </c>
      <c r="I270" s="2" t="n">
        <v>139450</v>
      </c>
      <c r="J270" s="2" t="n">
        <v>45000000</v>
      </c>
      <c r="K270" s="2" t="n">
        <v>1120000</v>
      </c>
      <c r="L270" s="2" t="n">
        <v>252390</v>
      </c>
      <c r="M270" s="2" t="n">
        <v>300740</v>
      </c>
      <c r="N270" s="2" t="n"/>
      <c r="O270" s="2" t="n">
        <v>1350000</v>
      </c>
      <c r="P270" s="2" t="n">
        <v>1770000</v>
      </c>
      <c r="Q270" s="2" t="n">
        <v>118970</v>
      </c>
      <c r="R270" s="2" t="n">
        <v>1430000</v>
      </c>
      <c r="S270" s="2" t="n">
        <v>1020000</v>
      </c>
      <c r="T270" s="2" t="n">
        <v>369890</v>
      </c>
      <c r="U270" s="2" t="n">
        <v>6260000</v>
      </c>
      <c r="V270" s="2" t="n">
        <v>2930000</v>
      </c>
      <c r="W270" s="2" t="n">
        <v>225820</v>
      </c>
      <c r="X270" s="2" t="n">
        <v>400070</v>
      </c>
      <c r="Z270" s="2" t="n">
        <v>3070000</v>
      </c>
      <c r="AA270" s="2" t="n">
        <v>20330000</v>
      </c>
      <c r="AB270" s="2" t="n">
        <v>5850000</v>
      </c>
      <c r="AC270" s="2" t="n">
        <v>12360000</v>
      </c>
      <c r="AD270" s="2" t="n">
        <v>679980</v>
      </c>
      <c r="AE270" s="2" t="n">
        <v>36550</v>
      </c>
      <c r="AF270" s="2" t="n">
        <v>514080.0000000001</v>
      </c>
    </row>
    <row r="271" ht="16" customHeight="1">
      <c r="A271" s="2" t="inlineStr">
        <is>
          <t>08/03/2025</t>
        </is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>
        <v>30610000</v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Z271" s="2" t="n"/>
      <c r="AA271" s="2" t="n"/>
      <c r="AB271" s="2" t="n"/>
      <c r="AC271" s="2" t="n"/>
      <c r="AD271" s="2" t="n"/>
      <c r="AE271" s="2" t="n">
        <v>27150</v>
      </c>
      <c r="AF271" s="2" t="n">
        <v>326760</v>
      </c>
    </row>
    <row r="272" ht="16" customHeight="1">
      <c r="A272" s="2" t="inlineStr">
        <is>
          <t>08/02/2025</t>
        </is>
      </c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>
        <v>67010000.00000001</v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Z272" s="2" t="n"/>
      <c r="AA272" s="2" t="n"/>
      <c r="AB272" s="2" t="n"/>
      <c r="AC272" s="2" t="n"/>
      <c r="AD272" s="2" t="n"/>
      <c r="AE272" s="2" t="n">
        <v>38340</v>
      </c>
      <c r="AF272" s="2" t="n">
        <v>546440</v>
      </c>
    </row>
    <row r="273" ht="16" customHeight="1">
      <c r="A273" s="2" t="inlineStr">
        <is>
          <t>08/01/2025</t>
        </is>
      </c>
      <c r="B273" s="2" t="n">
        <v>340900</v>
      </c>
      <c r="C273" s="2" t="n">
        <v>226030</v>
      </c>
      <c r="D273" s="2" t="n">
        <v>15920</v>
      </c>
      <c r="E273" s="2" t="n">
        <v>26830000</v>
      </c>
      <c r="F273" s="2" t="n">
        <v>455130</v>
      </c>
      <c r="G273" s="2" t="n">
        <v>2690000</v>
      </c>
      <c r="H273" s="2" t="n">
        <v>321060</v>
      </c>
      <c r="I273" s="2" t="n">
        <v>342970</v>
      </c>
      <c r="J273" s="2" t="n">
        <v>100370000</v>
      </c>
      <c r="K273" s="2" t="n">
        <v>1160000</v>
      </c>
      <c r="L273" s="2" t="n">
        <v>196490</v>
      </c>
      <c r="M273" s="2" t="n">
        <v>238300</v>
      </c>
      <c r="N273" s="2" t="n"/>
      <c r="O273" s="2" t="n">
        <v>2550000</v>
      </c>
      <c r="P273" s="2" t="n">
        <v>2330000</v>
      </c>
      <c r="Q273" s="2" t="n">
        <v>21560</v>
      </c>
      <c r="R273" s="2" t="n">
        <v>761750</v>
      </c>
      <c r="S273" s="2" t="n">
        <v>725360</v>
      </c>
      <c r="T273" s="2" t="n">
        <v>158380</v>
      </c>
      <c r="U273" s="2" t="n">
        <v>4450000</v>
      </c>
      <c r="V273" s="2" t="n">
        <v>1340000</v>
      </c>
      <c r="W273" s="2" t="n">
        <v>214800</v>
      </c>
      <c r="X273" s="2" t="n">
        <v>2440000</v>
      </c>
      <c r="Z273" s="2" t="n">
        <v>6080000</v>
      </c>
      <c r="AA273" s="2" t="n">
        <v>17760000</v>
      </c>
      <c r="AB273" s="2" t="n">
        <v>11790000</v>
      </c>
      <c r="AC273" s="2" t="n">
        <v>21810000</v>
      </c>
      <c r="AD273" s="2" t="n">
        <v>1220000</v>
      </c>
      <c r="AE273" s="2" t="n">
        <v>77850</v>
      </c>
      <c r="AF273" s="2" t="n">
        <v>871700</v>
      </c>
    </row>
    <row r="274" ht="16" customHeight="1">
      <c r="A274" s="2" t="inlineStr">
        <is>
          <t>07/31/2025</t>
        </is>
      </c>
      <c r="B274" s="2" t="n">
        <v>366560</v>
      </c>
      <c r="C274" s="2" t="n">
        <v>207270</v>
      </c>
      <c r="D274" s="2" t="n">
        <v>16540</v>
      </c>
      <c r="E274" s="2" t="n">
        <v>19050000</v>
      </c>
      <c r="F274" s="2" t="n">
        <v>409980</v>
      </c>
      <c r="G274" s="2" t="n">
        <v>1960000</v>
      </c>
      <c r="H274" s="2" t="n">
        <v>339390</v>
      </c>
      <c r="I274" s="2" t="n">
        <v>380880</v>
      </c>
      <c r="J274" s="2" t="n">
        <v>88720000</v>
      </c>
      <c r="K274" s="2" t="n">
        <v>1150000</v>
      </c>
      <c r="L274" s="2" t="n">
        <v>238270</v>
      </c>
      <c r="M274" s="2" t="n">
        <v>209700</v>
      </c>
      <c r="N274" s="2" t="n"/>
      <c r="O274" s="2" t="n">
        <v>2100000</v>
      </c>
      <c r="P274" s="2" t="n">
        <v>978630</v>
      </c>
      <c r="Q274" s="2" t="n">
        <v>15390</v>
      </c>
      <c r="R274" s="2" t="n">
        <v>341410</v>
      </c>
      <c r="S274" s="2" t="n">
        <v>936560</v>
      </c>
      <c r="T274" s="2" t="n">
        <v>52290</v>
      </c>
      <c r="U274" s="2" t="n">
        <v>10610000</v>
      </c>
      <c r="V274" s="2" t="n">
        <v>1560000</v>
      </c>
      <c r="W274" s="2" t="n">
        <v>236810</v>
      </c>
      <c r="X274" s="2" t="n">
        <v>2670000</v>
      </c>
      <c r="Z274" s="2" t="n">
        <v>4010000</v>
      </c>
      <c r="AA274" s="2" t="n">
        <v>19730000</v>
      </c>
      <c r="AB274" s="2" t="n">
        <v>8289999.999999999</v>
      </c>
      <c r="AC274" s="2" t="n">
        <v>10470000</v>
      </c>
      <c r="AD274" s="2" t="n">
        <v>693200</v>
      </c>
      <c r="AE274" s="2" t="n">
        <v>56430</v>
      </c>
      <c r="AF274" s="2" t="n">
        <v>576380</v>
      </c>
    </row>
    <row r="275" ht="16" customHeight="1">
      <c r="A275" s="2" t="inlineStr">
        <is>
          <t>07/30/2025</t>
        </is>
      </c>
      <c r="B275" s="2" t="n">
        <v>29540</v>
      </c>
      <c r="C275" s="2" t="n">
        <v>262400</v>
      </c>
      <c r="D275" s="2" t="n">
        <v>9820</v>
      </c>
      <c r="E275" s="2" t="n">
        <v>9110000</v>
      </c>
      <c r="F275" s="2" t="n">
        <v>333020</v>
      </c>
      <c r="G275" s="2" t="n">
        <v>3070000</v>
      </c>
      <c r="H275" s="2" t="n">
        <v>258560</v>
      </c>
      <c r="I275" s="2" t="n">
        <v>229070</v>
      </c>
      <c r="J275" s="2" t="n">
        <v>82830000</v>
      </c>
      <c r="K275" s="2" t="n">
        <v>1030000</v>
      </c>
      <c r="L275" s="2" t="n">
        <v>203590</v>
      </c>
      <c r="M275" s="2" t="n">
        <v>226610</v>
      </c>
      <c r="N275" s="2" t="n"/>
      <c r="O275" s="2" t="n">
        <v>2850000</v>
      </c>
      <c r="P275" s="2" t="n">
        <v>1320000</v>
      </c>
      <c r="Q275" s="2" t="n">
        <v>21000</v>
      </c>
      <c r="R275" s="2" t="n">
        <v>583240</v>
      </c>
      <c r="S275" s="2" t="n">
        <v>767170</v>
      </c>
      <c r="T275" s="2" t="n">
        <v>269810</v>
      </c>
      <c r="U275" s="2" t="n">
        <v>6380000</v>
      </c>
      <c r="V275" s="2" t="n">
        <v>1590000</v>
      </c>
      <c r="W275" s="2" t="n">
        <v>207550</v>
      </c>
      <c r="X275" s="2" t="n">
        <v>68800</v>
      </c>
      <c r="Z275" s="2" t="n">
        <v>2450000</v>
      </c>
      <c r="AA275" s="2" t="n">
        <v>23970000</v>
      </c>
      <c r="AB275" s="2" t="n">
        <v>7690000</v>
      </c>
      <c r="AC275" s="2" t="n">
        <v>7540000</v>
      </c>
      <c r="AD275" s="2" t="n">
        <v>1430000</v>
      </c>
      <c r="AE275" s="2" t="n">
        <v>48170</v>
      </c>
      <c r="AF275" s="2" t="n">
        <v>586470</v>
      </c>
    </row>
    <row r="276" ht="16" customHeight="1">
      <c r="A276" s="2" t="inlineStr">
        <is>
          <t>07/29/2025</t>
        </is>
      </c>
      <c r="B276" s="2" t="n">
        <v>52250</v>
      </c>
      <c r="C276" s="2" t="n">
        <v>198570</v>
      </c>
      <c r="D276" s="2" t="n">
        <v>10960</v>
      </c>
      <c r="E276" s="2" t="n">
        <v>8620000</v>
      </c>
      <c r="F276" s="2" t="n">
        <v>268470</v>
      </c>
      <c r="G276" s="2" t="n">
        <v>2460000</v>
      </c>
      <c r="H276" s="2" t="n">
        <v>304940</v>
      </c>
      <c r="I276" s="2" t="n">
        <v>215640</v>
      </c>
      <c r="J276" s="2" t="n">
        <v>99650000</v>
      </c>
      <c r="K276" s="2" t="n">
        <v>819860</v>
      </c>
      <c r="L276" s="2" t="n">
        <v>200370</v>
      </c>
      <c r="M276" s="2" t="n">
        <v>396570</v>
      </c>
      <c r="N276" s="2" t="n"/>
      <c r="O276" s="2" t="n">
        <v>2480000</v>
      </c>
      <c r="P276" s="2" t="n">
        <v>1180000</v>
      </c>
      <c r="Q276" s="2" t="n">
        <v>65970</v>
      </c>
      <c r="R276" s="2" t="n">
        <v>810090</v>
      </c>
      <c r="S276" s="2" t="n">
        <v>586400</v>
      </c>
      <c r="T276" s="2" t="n">
        <v>42460</v>
      </c>
      <c r="U276" s="2" t="n">
        <v>3610000</v>
      </c>
      <c r="V276" s="2" t="n">
        <v>1070000</v>
      </c>
      <c r="W276" s="2" t="n">
        <v>204090</v>
      </c>
      <c r="X276" s="2" t="n">
        <v>55710</v>
      </c>
      <c r="Z276" s="2" t="n">
        <v>2180000</v>
      </c>
      <c r="AA276" s="2" t="n">
        <v>13150000</v>
      </c>
      <c r="AB276" s="2" t="n">
        <v>7610000</v>
      </c>
      <c r="AC276" s="2" t="n">
        <v>10580000</v>
      </c>
      <c r="AD276" s="2" t="n">
        <v>682240</v>
      </c>
      <c r="AE276" s="2" t="n">
        <v>51880</v>
      </c>
      <c r="AF276" s="2" t="n">
        <v>648340</v>
      </c>
    </row>
    <row r="277" ht="16" customHeight="1">
      <c r="A277" s="2" t="inlineStr">
        <is>
          <t>07/28/2025</t>
        </is>
      </c>
      <c r="B277" s="2" t="n">
        <v>28700</v>
      </c>
      <c r="C277" s="2" t="n">
        <v>189350</v>
      </c>
      <c r="D277" s="2" t="n">
        <v>17320</v>
      </c>
      <c r="E277" s="2" t="n">
        <v>11580000</v>
      </c>
      <c r="F277" s="2" t="n">
        <v>559000</v>
      </c>
      <c r="G277" s="2" t="n">
        <v>1160000</v>
      </c>
      <c r="H277" s="2" t="n">
        <v>246090</v>
      </c>
      <c r="I277" s="2" t="n">
        <v>290070</v>
      </c>
      <c r="J277" s="2" t="n">
        <v>121810000</v>
      </c>
      <c r="K277" s="2" t="n">
        <v>1230000</v>
      </c>
      <c r="L277" s="2" t="n">
        <v>212820</v>
      </c>
      <c r="M277" s="2" t="n">
        <v>190900</v>
      </c>
      <c r="N277" s="2" t="n"/>
      <c r="O277" s="2" t="n">
        <v>1960000</v>
      </c>
      <c r="P277" s="2" t="n">
        <v>1180000</v>
      </c>
      <c r="Q277" s="2" t="n">
        <v>16050</v>
      </c>
      <c r="R277" s="2" t="n">
        <v>528740</v>
      </c>
      <c r="S277" s="2" t="n">
        <v>573440</v>
      </c>
      <c r="T277" s="2" t="n">
        <v>187890</v>
      </c>
      <c r="U277" s="2" t="n">
        <v>4390000</v>
      </c>
      <c r="V277" s="2" t="n">
        <v>1190000</v>
      </c>
      <c r="W277" s="2" t="n">
        <v>222260</v>
      </c>
      <c r="X277" s="2" t="n">
        <v>101440</v>
      </c>
      <c r="Z277" s="2" t="n">
        <v>1730000</v>
      </c>
      <c r="AA277" s="2" t="n">
        <v>14870000</v>
      </c>
      <c r="AB277" s="2" t="n">
        <v>5370000</v>
      </c>
      <c r="AC277" s="2" t="n">
        <v>7000000</v>
      </c>
      <c r="AD277" s="2" t="n">
        <v>892350</v>
      </c>
      <c r="AE277" s="2" t="n">
        <v>61810</v>
      </c>
      <c r="AF277" s="2" t="n">
        <v>684410</v>
      </c>
    </row>
    <row r="278" ht="16" customHeight="1">
      <c r="A278" s="2" t="inlineStr">
        <is>
          <t>07/27/2025</t>
        </is>
      </c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>
        <v>60510000</v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Z278" s="2" t="n"/>
      <c r="AA278" s="2" t="n"/>
      <c r="AB278" s="2" t="n"/>
      <c r="AC278" s="2" t="n"/>
      <c r="AD278" s="2" t="n"/>
      <c r="AE278" s="2" t="n">
        <v>34870</v>
      </c>
      <c r="AF278" s="2" t="n">
        <v>501290</v>
      </c>
    </row>
    <row r="279" ht="16" customHeight="1">
      <c r="A279" s="2" t="inlineStr">
        <is>
          <t>07/26/2025</t>
        </is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>
        <v>52200000</v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Z279" s="2" t="n"/>
      <c r="AA279" s="2" t="n"/>
      <c r="AB279" s="2" t="n"/>
      <c r="AC279" s="2" t="n"/>
      <c r="AD279" s="2" t="n"/>
      <c r="AE279" s="2" t="n">
        <v>31060</v>
      </c>
      <c r="AF279" s="2" t="n">
        <v>442970</v>
      </c>
    </row>
    <row r="280" ht="16" customHeight="1">
      <c r="A280" s="2" t="inlineStr">
        <is>
          <t>07/25/2025</t>
        </is>
      </c>
      <c r="B280" s="2" t="n">
        <v>381090</v>
      </c>
      <c r="C280" s="2" t="n">
        <v>207230</v>
      </c>
      <c r="D280" s="2" t="n">
        <v>7110</v>
      </c>
      <c r="E280" s="2" t="n">
        <v>9780000</v>
      </c>
      <c r="F280" s="2" t="n">
        <v>356830</v>
      </c>
      <c r="G280" s="2" t="n"/>
      <c r="H280" s="2" t="n">
        <v>408090</v>
      </c>
      <c r="I280" s="2" t="n">
        <v>422430</v>
      </c>
      <c r="J280" s="2" t="n">
        <v>159810000</v>
      </c>
      <c r="K280" s="2" t="n">
        <v>857500</v>
      </c>
      <c r="L280" s="2" t="n">
        <v>207290</v>
      </c>
      <c r="M280" s="2" t="n">
        <v>179640</v>
      </c>
      <c r="N280" s="2" t="n"/>
      <c r="O280" s="2" t="n">
        <v>1260000</v>
      </c>
      <c r="P280" s="2" t="n">
        <v>2390000</v>
      </c>
      <c r="Q280" s="2" t="n">
        <v>13410</v>
      </c>
      <c r="R280" s="2" t="n">
        <v>1460000</v>
      </c>
      <c r="S280" s="2" t="n">
        <v>654730</v>
      </c>
      <c r="T280" s="2" t="n">
        <v>84420</v>
      </c>
      <c r="U280" s="2" t="n">
        <v>8400000</v>
      </c>
      <c r="V280" s="2" t="n">
        <v>2570000</v>
      </c>
      <c r="W280" s="2" t="n">
        <v>201980</v>
      </c>
      <c r="X280" s="2" t="n">
        <v>87250</v>
      </c>
      <c r="Z280" s="2" t="n">
        <v>2850000</v>
      </c>
      <c r="AA280" s="2" t="n">
        <v>16850000</v>
      </c>
      <c r="AB280" s="2" t="n">
        <v>4420000</v>
      </c>
      <c r="AC280" s="2" t="n">
        <v>8380000.000000001</v>
      </c>
      <c r="AD280" s="2" t="n">
        <v>630190</v>
      </c>
      <c r="AE280" s="2" t="n">
        <v>131510</v>
      </c>
      <c r="AF280" s="2" t="n">
        <v>833980</v>
      </c>
    </row>
    <row r="281" ht="16" customHeight="1">
      <c r="A281" s="2" t="inlineStr">
        <is>
          <t>07/24/2025</t>
        </is>
      </c>
      <c r="B281" s="2" t="n">
        <v>349270</v>
      </c>
      <c r="C281" s="2" t="n">
        <v>159390</v>
      </c>
      <c r="D281" s="2" t="n">
        <v>10080</v>
      </c>
      <c r="E281" s="2" t="n">
        <v>10700000</v>
      </c>
      <c r="F281" s="2" t="n">
        <v>398900</v>
      </c>
      <c r="G281" s="2" t="n"/>
      <c r="H281" s="2" t="n">
        <v>234940</v>
      </c>
      <c r="I281" s="2" t="n">
        <v>315750</v>
      </c>
      <c r="J281" s="2" t="n">
        <v>145020000</v>
      </c>
      <c r="K281" s="2" t="n">
        <v>1500000</v>
      </c>
      <c r="L281" s="2" t="n">
        <v>208540</v>
      </c>
      <c r="M281" s="2" t="n">
        <v>334100</v>
      </c>
      <c r="N281" s="2" t="n"/>
      <c r="O281" s="2" t="n">
        <v>1570000</v>
      </c>
      <c r="P281" s="2" t="n">
        <v>1260000</v>
      </c>
      <c r="Q281" s="2" t="n">
        <v>21560</v>
      </c>
      <c r="R281" s="2" t="n">
        <v>451120</v>
      </c>
      <c r="S281" s="2" t="n">
        <v>694890</v>
      </c>
      <c r="T281" s="2" t="n">
        <v>105610</v>
      </c>
      <c r="U281" s="2" t="n">
        <v>15000000</v>
      </c>
      <c r="V281" s="2" t="n">
        <v>1540000</v>
      </c>
      <c r="W281" s="2" t="n">
        <v>195400</v>
      </c>
      <c r="X281" s="2" t="n">
        <v>104610</v>
      </c>
      <c r="Z281" s="2" t="n">
        <v>3010000</v>
      </c>
      <c r="AA281" s="2" t="n">
        <v>14200000</v>
      </c>
      <c r="AB281" s="2" t="n">
        <v>11270000</v>
      </c>
      <c r="AC281" s="2" t="n">
        <v>7410000</v>
      </c>
      <c r="AD281" s="2" t="n">
        <v>779490</v>
      </c>
      <c r="AE281" s="2" t="n">
        <v>55000</v>
      </c>
      <c r="AF281" s="2" t="n">
        <v>832350</v>
      </c>
    </row>
    <row r="282" ht="16" customHeight="1">
      <c r="A282" s="2" t="inlineStr">
        <is>
          <t>07/23/2025</t>
        </is>
      </c>
      <c r="B282" s="2" t="n">
        <v>337200</v>
      </c>
      <c r="C282" s="2" t="n">
        <v>174330</v>
      </c>
      <c r="D282" s="2" t="n">
        <v>8410</v>
      </c>
      <c r="E282" s="2" t="n">
        <v>8060000.000000001</v>
      </c>
      <c r="F282" s="2" t="n">
        <v>235800</v>
      </c>
      <c r="G282" s="2" t="n"/>
      <c r="H282" s="2" t="n">
        <v>156140</v>
      </c>
      <c r="I282" s="2" t="n">
        <v>140180</v>
      </c>
      <c r="J282" s="2" t="n">
        <v>150420000</v>
      </c>
      <c r="K282" s="2" t="n">
        <v>1210000</v>
      </c>
      <c r="L282" s="2" t="n">
        <v>263330</v>
      </c>
      <c r="M282" s="2" t="n">
        <v>262500</v>
      </c>
      <c r="N282" s="2" t="n"/>
      <c r="O282" s="2" t="n">
        <v>1610000</v>
      </c>
      <c r="P282" s="2" t="n">
        <v>999820</v>
      </c>
      <c r="Q282" s="2" t="n">
        <v>28400</v>
      </c>
      <c r="R282" s="2" t="n">
        <v>359650</v>
      </c>
      <c r="S282" s="2" t="n">
        <v>880560</v>
      </c>
      <c r="T282" s="2" t="n">
        <v>137220</v>
      </c>
      <c r="U282" s="2" t="n">
        <v>7760000</v>
      </c>
      <c r="V282" s="2" t="n">
        <v>1320000</v>
      </c>
      <c r="W282" s="2" t="n">
        <v>247600</v>
      </c>
      <c r="X282" s="2" t="n">
        <v>147620</v>
      </c>
      <c r="Z282" s="2" t="n">
        <v>2570000</v>
      </c>
      <c r="AA282" s="2" t="n">
        <v>16830000</v>
      </c>
      <c r="AB282" s="2" t="n">
        <v>9340000</v>
      </c>
      <c r="AC282" s="2" t="n">
        <v>12990000</v>
      </c>
      <c r="AD282" s="2" t="n">
        <v>712650</v>
      </c>
      <c r="AE282" s="2" t="n">
        <v>50190</v>
      </c>
      <c r="AF282" s="2" t="n">
        <v>870810</v>
      </c>
    </row>
    <row r="283" ht="16" customHeight="1">
      <c r="A283" s="2" t="inlineStr">
        <is>
          <t>07/22/2025</t>
        </is>
      </c>
      <c r="B283" s="2" t="n">
        <v>366790</v>
      </c>
      <c r="C283" s="2" t="n">
        <v>157440</v>
      </c>
      <c r="D283" s="2" t="n">
        <v>10490</v>
      </c>
      <c r="E283" s="2" t="n">
        <v>9340000</v>
      </c>
      <c r="F283" s="2" t="n">
        <v>312210</v>
      </c>
      <c r="G283" s="2" t="n"/>
      <c r="H283" s="2" t="n">
        <v>213220</v>
      </c>
      <c r="I283" s="2" t="n">
        <v>445350</v>
      </c>
      <c r="J283" s="2" t="n">
        <v>137730000</v>
      </c>
      <c r="K283" s="2" t="n">
        <v>1060000</v>
      </c>
      <c r="L283" s="2" t="n">
        <v>217680</v>
      </c>
      <c r="M283" s="2" t="n">
        <v>205820</v>
      </c>
      <c r="N283" s="2" t="n"/>
      <c r="O283" s="2" t="n">
        <v>1520000</v>
      </c>
      <c r="P283" s="2" t="n">
        <v>1090000</v>
      </c>
      <c r="Q283" s="2" t="n">
        <v>14450</v>
      </c>
      <c r="R283" s="2" t="n">
        <v>639160</v>
      </c>
      <c r="S283" s="2" t="n">
        <v>839960</v>
      </c>
      <c r="T283" s="2" t="n">
        <v>24760</v>
      </c>
      <c r="U283" s="2" t="n">
        <v>3630000</v>
      </c>
      <c r="V283" s="2" t="n">
        <v>1450000</v>
      </c>
      <c r="W283" s="2" t="n">
        <v>214310</v>
      </c>
      <c r="X283" s="2" t="n">
        <v>121190</v>
      </c>
      <c r="Z283" s="2" t="n">
        <v>2450000</v>
      </c>
      <c r="AA283" s="2" t="n">
        <v>12720000</v>
      </c>
      <c r="AB283" s="2" t="n">
        <v>6860000</v>
      </c>
      <c r="AC283" s="2" t="n">
        <v>10520000</v>
      </c>
      <c r="AD283" s="2" t="n">
        <v>642720</v>
      </c>
      <c r="AE283" s="2" t="n">
        <v>70230</v>
      </c>
      <c r="AF283" s="2" t="n">
        <v>945190</v>
      </c>
    </row>
    <row r="284" ht="16" customHeight="1">
      <c r="A284" s="2" t="inlineStr">
        <is>
          <t>07/21/2025</t>
        </is>
      </c>
      <c r="B284" s="2" t="n">
        <v>326160</v>
      </c>
      <c r="C284" s="2" t="n">
        <v>239660</v>
      </c>
      <c r="D284" s="2" t="n">
        <v>19600</v>
      </c>
      <c r="E284" s="2" t="n">
        <v>12890000</v>
      </c>
      <c r="F284" s="2" t="n">
        <v>205810</v>
      </c>
      <c r="G284" s="2" t="n"/>
      <c r="H284" s="2" t="n">
        <v>96530</v>
      </c>
      <c r="I284" s="2" t="n">
        <v>114670</v>
      </c>
      <c r="J284" s="2" t="n">
        <v>181430000</v>
      </c>
      <c r="K284" s="2" t="n">
        <v>1260000</v>
      </c>
      <c r="L284" s="2" t="n"/>
      <c r="M284" s="2" t="n">
        <v>250610</v>
      </c>
      <c r="N284" s="2" t="n"/>
      <c r="O284" s="2" t="n">
        <v>1200000</v>
      </c>
      <c r="P284" s="2" t="n">
        <v>940280</v>
      </c>
      <c r="Q284" s="2" t="n">
        <v>22610</v>
      </c>
      <c r="R284" s="2" t="n">
        <v>466990</v>
      </c>
      <c r="S284" s="2" t="n">
        <v>941070</v>
      </c>
      <c r="T284" s="2" t="n">
        <v>39830</v>
      </c>
      <c r="U284" s="2" t="n">
        <v>3250000</v>
      </c>
      <c r="V284" s="2" t="n">
        <v>1190000</v>
      </c>
      <c r="W284" s="2" t="n">
        <v>239630</v>
      </c>
      <c r="X284" s="2" t="n">
        <v>87220</v>
      </c>
      <c r="Z284" s="2" t="n">
        <v>2230000</v>
      </c>
      <c r="AA284" s="2" t="n">
        <v>13100000</v>
      </c>
      <c r="AB284" s="2" t="n">
        <v>4530000</v>
      </c>
      <c r="AC284" s="2" t="n">
        <v>9980000</v>
      </c>
      <c r="AD284" s="2" t="n">
        <v>895610</v>
      </c>
      <c r="AE284" s="2" t="n">
        <v>54780</v>
      </c>
      <c r="AF284" s="2" t="n">
        <v>893140</v>
      </c>
    </row>
    <row r="285" ht="16" customHeight="1">
      <c r="A285" s="2" t="inlineStr">
        <is>
          <t>07/20/2025</t>
        </is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>
        <v>100380000</v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Z285" s="2" t="n"/>
      <c r="AA285" s="2" t="n"/>
      <c r="AB285" s="2" t="n"/>
      <c r="AC285" s="2" t="n"/>
      <c r="AD285" s="2" t="n"/>
      <c r="AE285" s="2" t="n">
        <v>40070</v>
      </c>
      <c r="AF285" s="2" t="n">
        <v>957570</v>
      </c>
    </row>
    <row r="286" ht="16" customHeight="1">
      <c r="A286" s="2" t="inlineStr">
        <is>
          <t>07/19/2025</t>
        </is>
      </c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>
        <v>58100000</v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Z286" s="2" t="n"/>
      <c r="AA286" s="2" t="n"/>
      <c r="AB286" s="2" t="n"/>
      <c r="AC286" s="2" t="n"/>
      <c r="AD286" s="2" t="n"/>
      <c r="AE286" s="2" t="n">
        <v>23560</v>
      </c>
      <c r="AF286" s="2" t="n">
        <v>455770</v>
      </c>
    </row>
    <row r="287" ht="16" customHeight="1">
      <c r="A287" s="2" t="inlineStr">
        <is>
          <t>07/18/2025</t>
        </is>
      </c>
      <c r="B287" s="2" t="n">
        <v>348450</v>
      </c>
      <c r="C287" s="2" t="n">
        <v>288400</v>
      </c>
      <c r="D287" s="2" t="n">
        <v>11670</v>
      </c>
      <c r="E287" s="2" t="n">
        <v>9400000</v>
      </c>
      <c r="F287" s="2" t="n">
        <v>208080</v>
      </c>
      <c r="G287" s="2" t="n"/>
      <c r="H287" s="2" t="n">
        <v>99040</v>
      </c>
      <c r="I287" s="2" t="n">
        <v>94300</v>
      </c>
      <c r="J287" s="2" t="n">
        <v>209880000</v>
      </c>
      <c r="K287" s="2" t="n">
        <v>809520</v>
      </c>
      <c r="L287" s="2" t="n"/>
      <c r="M287" s="2" t="n">
        <v>303940</v>
      </c>
      <c r="N287" s="2" t="n"/>
      <c r="O287" s="2" t="n">
        <v>1570000</v>
      </c>
      <c r="P287" s="2" t="n">
        <v>1010000</v>
      </c>
      <c r="Q287" s="2" t="n">
        <v>30870</v>
      </c>
      <c r="R287" s="2" t="n">
        <v>588290</v>
      </c>
      <c r="S287" s="2" t="n">
        <v>771760</v>
      </c>
      <c r="T287" s="2" t="n">
        <v>31770</v>
      </c>
      <c r="U287" s="2" t="n">
        <v>3380000</v>
      </c>
      <c r="V287" s="2" t="n">
        <v>1090000</v>
      </c>
      <c r="W287" s="2" t="n">
        <v>203760</v>
      </c>
      <c r="X287" s="2" t="n">
        <v>95980</v>
      </c>
      <c r="Z287" s="2" t="n">
        <v>2580000</v>
      </c>
      <c r="AA287" s="2" t="n">
        <v>13200000</v>
      </c>
      <c r="AB287" s="2" t="n">
        <v>6530000</v>
      </c>
      <c r="AC287" s="2" t="n">
        <v>19110000</v>
      </c>
      <c r="AD287" s="2" t="n">
        <v>740960</v>
      </c>
      <c r="AE287" s="2" t="n">
        <v>66900</v>
      </c>
      <c r="AF287" s="2" t="n">
        <v>1300000</v>
      </c>
    </row>
    <row r="288" ht="16" customHeight="1">
      <c r="A288" s="2" t="inlineStr">
        <is>
          <t>07/17/2025</t>
        </is>
      </c>
      <c r="B288" s="2" t="n">
        <v>359930</v>
      </c>
      <c r="C288" s="2" t="n">
        <v>173970</v>
      </c>
      <c r="D288" s="2" t="n">
        <v>12470</v>
      </c>
      <c r="E288" s="2" t="n">
        <v>9040000</v>
      </c>
      <c r="F288" s="2" t="n">
        <v>207690</v>
      </c>
      <c r="G288" s="2" t="n"/>
      <c r="H288" s="2" t="n">
        <v>76730</v>
      </c>
      <c r="I288" s="2" t="n">
        <v>161530</v>
      </c>
      <c r="J288" s="2" t="n">
        <v>180510000</v>
      </c>
      <c r="K288" s="2" t="n">
        <v>829640</v>
      </c>
      <c r="L288" s="2" t="n"/>
      <c r="M288" s="2" t="n">
        <v>319640</v>
      </c>
      <c r="N288" s="2" t="n"/>
      <c r="O288" s="2" t="n">
        <v>1660000</v>
      </c>
      <c r="P288" s="2" t="n">
        <v>1120000</v>
      </c>
      <c r="Q288" s="2" t="n">
        <v>10660</v>
      </c>
      <c r="R288" s="2" t="n">
        <v>435780</v>
      </c>
      <c r="S288" s="2" t="n">
        <v>423380</v>
      </c>
      <c r="T288" s="2" t="n">
        <v>63820</v>
      </c>
      <c r="U288" s="2" t="n">
        <v>4420000</v>
      </c>
      <c r="V288" s="2" t="n">
        <v>918480</v>
      </c>
      <c r="W288" s="2" t="n">
        <v>165490</v>
      </c>
      <c r="X288" s="2" t="n">
        <v>180950</v>
      </c>
      <c r="Z288" s="2" t="n">
        <v>3410000</v>
      </c>
      <c r="AA288" s="2" t="n">
        <v>14580000</v>
      </c>
      <c r="AB288" s="2" t="n">
        <v>5300000</v>
      </c>
      <c r="AC288" s="2" t="n">
        <v>8900000</v>
      </c>
      <c r="AD288" s="2" t="n">
        <v>638960</v>
      </c>
      <c r="AE288" s="2" t="n">
        <v>55750</v>
      </c>
      <c r="AF288" s="2" t="n">
        <v>1130000</v>
      </c>
    </row>
    <row r="289" ht="16" customHeight="1">
      <c r="A289" s="2" t="inlineStr">
        <is>
          <t>07/16/2025</t>
        </is>
      </c>
      <c r="B289" s="2" t="n">
        <v>331770</v>
      </c>
      <c r="C289" s="2" t="n">
        <v>157550</v>
      </c>
      <c r="D289" s="2" t="n">
        <v>8560</v>
      </c>
      <c r="E289" s="2" t="n">
        <v>8180000</v>
      </c>
      <c r="F289" s="2" t="n">
        <v>211080</v>
      </c>
      <c r="G289" s="2" t="n"/>
      <c r="H289" s="2" t="n">
        <v>96580</v>
      </c>
      <c r="I289" s="2" t="n">
        <v>175970</v>
      </c>
      <c r="J289" s="2" t="n">
        <v>93580000</v>
      </c>
      <c r="K289" s="2" t="n">
        <v>641810</v>
      </c>
      <c r="L289" s="2" t="n"/>
      <c r="M289" s="2" t="n">
        <v>281110</v>
      </c>
      <c r="N289" s="2" t="n"/>
      <c r="O289" s="2" t="n">
        <v>6400000</v>
      </c>
      <c r="P289" s="2" t="n">
        <v>1250000</v>
      </c>
      <c r="Q289" s="2" t="n">
        <v>14960</v>
      </c>
      <c r="R289" s="2" t="n">
        <v>357840</v>
      </c>
      <c r="S289" s="2" t="n">
        <v>575280</v>
      </c>
      <c r="T289" s="2" t="n">
        <v>41230</v>
      </c>
      <c r="U289" s="2" t="n">
        <v>3990000</v>
      </c>
      <c r="V289" s="2" t="n">
        <v>1660000</v>
      </c>
      <c r="W289" s="2" t="n">
        <v>228360</v>
      </c>
      <c r="X289" s="2" t="n">
        <v>53100</v>
      </c>
      <c r="Z289" s="2" t="n">
        <v>3210000</v>
      </c>
      <c r="AA289" s="2" t="n">
        <v>16180000</v>
      </c>
      <c r="AB289" s="2" t="n">
        <v>6310000</v>
      </c>
      <c r="AC289" s="2" t="n">
        <v>10580000</v>
      </c>
      <c r="AD289" s="2" t="n">
        <v>906930</v>
      </c>
      <c r="AE289" s="2" t="n">
        <v>60710</v>
      </c>
      <c r="AF289" s="2" t="n">
        <v>1320000</v>
      </c>
    </row>
    <row r="290" ht="16" customHeight="1">
      <c r="A290" s="2" t="inlineStr">
        <is>
          <t>07/15/2025</t>
        </is>
      </c>
      <c r="B290" s="2" t="n">
        <v>328490</v>
      </c>
      <c r="C290" s="2" t="n">
        <v>170810</v>
      </c>
      <c r="D290" s="2" t="n">
        <v>8630</v>
      </c>
      <c r="E290" s="2" t="n">
        <v>10210000</v>
      </c>
      <c r="F290" s="2" t="n">
        <v>202250</v>
      </c>
      <c r="G290" s="2" t="n"/>
      <c r="H290" s="2" t="n">
        <v>91730</v>
      </c>
      <c r="I290" s="2" t="n">
        <v>291290</v>
      </c>
      <c r="J290" s="2" t="n">
        <v>90720000</v>
      </c>
      <c r="K290" s="2" t="n">
        <v>787630</v>
      </c>
      <c r="L290" s="2" t="n"/>
      <c r="M290" s="2" t="n">
        <v>313940</v>
      </c>
      <c r="N290" s="2" t="n"/>
      <c r="O290" s="2" t="n">
        <v>3110000</v>
      </c>
      <c r="P290" s="2" t="n">
        <v>2110000</v>
      </c>
      <c r="Q290" s="2" t="n">
        <v>26320</v>
      </c>
      <c r="R290" s="2" t="n">
        <v>648920</v>
      </c>
      <c r="S290" s="2" t="n">
        <v>542280</v>
      </c>
      <c r="T290" s="2" t="n">
        <v>86000</v>
      </c>
      <c r="U290" s="2" t="n">
        <v>5200000</v>
      </c>
      <c r="V290" s="2" t="n">
        <v>1450000</v>
      </c>
      <c r="W290" s="2" t="n">
        <v>181130</v>
      </c>
      <c r="X290" s="2" t="n">
        <v>66310</v>
      </c>
      <c r="Z290" s="2" t="n">
        <v>3280000</v>
      </c>
      <c r="AA290" s="2" t="n">
        <v>16830000</v>
      </c>
      <c r="AB290" s="2" t="n">
        <v>6600000</v>
      </c>
      <c r="AC290" s="2" t="n">
        <v>14320000</v>
      </c>
      <c r="AD290" s="2" t="n">
        <v>694740</v>
      </c>
      <c r="AE290" s="2" t="n">
        <v>113790</v>
      </c>
      <c r="AF290" s="2" t="n">
        <v>960310</v>
      </c>
    </row>
    <row r="291" ht="16" customHeight="1">
      <c r="A291" s="2" t="inlineStr">
        <is>
          <t>07/14/2025</t>
        </is>
      </c>
      <c r="B291" s="2" t="n">
        <v>327850</v>
      </c>
      <c r="C291" s="2" t="n">
        <v>202950</v>
      </c>
      <c r="D291" s="2" t="n">
        <v>24860</v>
      </c>
      <c r="E291" s="2" t="n">
        <v>10290000</v>
      </c>
      <c r="F291" s="2" t="n">
        <v>547580</v>
      </c>
      <c r="G291" s="2" t="n"/>
      <c r="H291" s="2" t="n">
        <v>219520</v>
      </c>
      <c r="I291" s="2" t="n">
        <v>377170</v>
      </c>
      <c r="J291" s="2" t="n">
        <v>117950000</v>
      </c>
      <c r="K291" s="2" t="n">
        <v>871240</v>
      </c>
      <c r="L291" s="2" t="n"/>
      <c r="M291" s="2" t="n">
        <v>334280</v>
      </c>
      <c r="N291" s="2" t="n"/>
      <c r="O291" s="2" t="n">
        <v>1370000</v>
      </c>
      <c r="P291" s="2" t="n">
        <v>1460000</v>
      </c>
      <c r="Q291" s="2" t="n">
        <v>22650</v>
      </c>
      <c r="R291" s="2" t="n">
        <v>865730</v>
      </c>
      <c r="S291" s="2" t="n">
        <v>486520</v>
      </c>
      <c r="T291" s="2" t="n">
        <v>24940</v>
      </c>
      <c r="U291" s="2" t="n">
        <v>3390000</v>
      </c>
      <c r="V291" s="2" t="n">
        <v>1550000</v>
      </c>
      <c r="W291" s="2" t="n">
        <v>200140</v>
      </c>
      <c r="X291" s="2" t="n">
        <v>123850</v>
      </c>
      <c r="Z291" s="2" t="n">
        <v>1550000</v>
      </c>
      <c r="AA291" s="2" t="n">
        <v>16560000</v>
      </c>
      <c r="AB291" s="2" t="n">
        <v>4010000</v>
      </c>
      <c r="AC291" s="2" t="n">
        <v>17950000</v>
      </c>
      <c r="AD291" s="2" t="n">
        <v>724180</v>
      </c>
      <c r="AE291" s="2" t="n">
        <v>89940</v>
      </c>
      <c r="AF291" s="2" t="n">
        <v>974190</v>
      </c>
    </row>
    <row r="292" ht="16" customHeight="1">
      <c r="A292" s="2" t="inlineStr">
        <is>
          <t>07/13/2025</t>
        </is>
      </c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>
        <v>68770000</v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Z292" s="2" t="n"/>
      <c r="AA292" s="2" t="n"/>
      <c r="AB292" s="2" t="n"/>
      <c r="AC292" s="2" t="n"/>
      <c r="AD292" s="2" t="n"/>
      <c r="AE292" s="2" t="n">
        <v>33240</v>
      </c>
      <c r="AF292" s="2" t="n">
        <v>447360</v>
      </c>
    </row>
    <row r="293" ht="16" customHeight="1">
      <c r="A293" s="2" t="inlineStr">
        <is>
          <t>07/12/2025</t>
        </is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>
        <v>96100000</v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Z293" s="2" t="n"/>
      <c r="AA293" s="2" t="n"/>
      <c r="AB293" s="2" t="n"/>
      <c r="AC293" s="2" t="n"/>
      <c r="AD293" s="2" t="n"/>
      <c r="AE293" s="2" t="n">
        <v>32190</v>
      </c>
      <c r="AF293" s="2" t="n">
        <v>414190</v>
      </c>
    </row>
    <row r="294" ht="16" customHeight="1">
      <c r="A294" s="2" t="inlineStr">
        <is>
          <t>07/11/2025</t>
        </is>
      </c>
      <c r="B294" s="2" t="n">
        <v>332270</v>
      </c>
      <c r="C294" s="2" t="n">
        <v>172530</v>
      </c>
      <c r="D294" s="2" t="n">
        <v>47990</v>
      </c>
      <c r="E294" s="2" t="n">
        <v>9290000</v>
      </c>
      <c r="F294" s="2" t="n">
        <v>343370</v>
      </c>
      <c r="G294" s="2" t="n"/>
      <c r="H294" s="2" t="n">
        <v>226090</v>
      </c>
      <c r="I294" s="2" t="n">
        <v>414460</v>
      </c>
      <c r="J294" s="2" t="n">
        <v>264540000</v>
      </c>
      <c r="K294" s="2" t="n">
        <v>971240</v>
      </c>
      <c r="L294" s="2" t="n"/>
      <c r="M294" s="2" t="n">
        <v>226870</v>
      </c>
      <c r="N294" s="2" t="n"/>
      <c r="O294" s="2" t="n">
        <v>1180000</v>
      </c>
      <c r="P294" s="2" t="n">
        <v>839950</v>
      </c>
      <c r="Q294" s="2" t="n">
        <v>21530</v>
      </c>
      <c r="R294" s="2" t="n">
        <v>689660</v>
      </c>
      <c r="S294" s="2" t="n">
        <v>376230</v>
      </c>
      <c r="T294" s="2" t="n">
        <v>188430</v>
      </c>
      <c r="U294" s="2" t="n">
        <v>6250000</v>
      </c>
      <c r="V294" s="2" t="n">
        <v>1320000</v>
      </c>
      <c r="W294" s="2" t="n">
        <v>213110</v>
      </c>
      <c r="X294" s="2" t="n">
        <v>120600</v>
      </c>
      <c r="Z294" s="2" t="n">
        <v>2330000</v>
      </c>
      <c r="AA294" s="2" t="n">
        <v>14040000</v>
      </c>
      <c r="AB294" s="2" t="n">
        <v>4080000</v>
      </c>
      <c r="AC294" s="2" t="n">
        <v>18450000</v>
      </c>
      <c r="AD294" s="2" t="n">
        <v>696530</v>
      </c>
      <c r="AE294" s="2" t="n">
        <v>89270</v>
      </c>
      <c r="AF294" s="2" t="n">
        <v>1100000</v>
      </c>
    </row>
    <row r="295" ht="16" customHeight="1">
      <c r="A295" s="2" t="inlineStr">
        <is>
          <t>07/10/2025</t>
        </is>
      </c>
      <c r="B295" s="2" t="n">
        <v>397240</v>
      </c>
      <c r="C295" s="2" t="n">
        <v>177770</v>
      </c>
      <c r="D295" s="2" t="n">
        <v>12850</v>
      </c>
      <c r="E295" s="2" t="n">
        <v>10070000</v>
      </c>
      <c r="F295" s="2" t="n">
        <v>653920</v>
      </c>
      <c r="G295" s="2" t="n"/>
      <c r="H295" s="2" t="n">
        <v>346240</v>
      </c>
      <c r="I295" s="2" t="n">
        <v>520850</v>
      </c>
      <c r="J295" s="2" t="n">
        <v>154650000</v>
      </c>
      <c r="K295" s="2" t="n">
        <v>623630</v>
      </c>
      <c r="L295" s="2" t="n"/>
      <c r="M295" s="2" t="n">
        <v>331570</v>
      </c>
      <c r="N295" s="2" t="n"/>
      <c r="O295" s="2" t="n">
        <v>1120000</v>
      </c>
      <c r="P295" s="2" t="n">
        <v>1170000</v>
      </c>
      <c r="Q295" s="2" t="n">
        <v>11970</v>
      </c>
      <c r="R295" s="2" t="n">
        <v>1690000</v>
      </c>
      <c r="S295" s="2" t="n">
        <v>430390</v>
      </c>
      <c r="T295" s="2" t="n">
        <v>156020</v>
      </c>
      <c r="U295" s="2" t="n">
        <v>4360000</v>
      </c>
      <c r="V295" s="2" t="n">
        <v>941480</v>
      </c>
      <c r="W295" s="2" t="n">
        <v>162820</v>
      </c>
      <c r="X295" s="2" t="n">
        <v>147330</v>
      </c>
      <c r="Z295" s="2" t="n">
        <v>2260000</v>
      </c>
      <c r="AA295" s="2" t="n">
        <v>13640000</v>
      </c>
      <c r="AB295" s="2" t="n">
        <v>21830000</v>
      </c>
      <c r="AC295" s="2" t="n">
        <v>13210000</v>
      </c>
      <c r="AD295" s="2" t="n">
        <v>710230</v>
      </c>
      <c r="AE295" s="2" t="n">
        <v>82260</v>
      </c>
      <c r="AF295" s="2" t="n">
        <v>1090000</v>
      </c>
    </row>
    <row r="296" ht="16" customHeight="1">
      <c r="A296" s="2" t="inlineStr">
        <is>
          <t>07/09/2025</t>
        </is>
      </c>
      <c r="B296" s="2" t="n">
        <v>326390</v>
      </c>
      <c r="C296" s="2" t="n">
        <v>164550</v>
      </c>
      <c r="D296" s="2" t="n">
        <v>8200</v>
      </c>
      <c r="E296" s="2" t="n">
        <v>11160000</v>
      </c>
      <c r="F296" s="2" t="n">
        <v>538050</v>
      </c>
      <c r="G296" s="2" t="n"/>
      <c r="H296" s="2" t="n">
        <v>404480</v>
      </c>
      <c r="I296" s="2" t="n">
        <v>403650</v>
      </c>
      <c r="J296" s="2" t="n">
        <v>85780000</v>
      </c>
      <c r="K296" s="2" t="n">
        <v>627530</v>
      </c>
      <c r="L296" s="2" t="n"/>
      <c r="M296" s="2" t="n">
        <v>197780</v>
      </c>
      <c r="N296" s="2" t="n"/>
      <c r="O296" s="2" t="n">
        <v>2090000</v>
      </c>
      <c r="P296" s="2" t="n">
        <v>940560</v>
      </c>
      <c r="Q296" s="2" t="n">
        <v>17060</v>
      </c>
      <c r="R296" s="2" t="n">
        <v>459780</v>
      </c>
      <c r="S296" s="2" t="n">
        <v>545940</v>
      </c>
      <c r="T296" s="2" t="n">
        <v>98100</v>
      </c>
      <c r="U296" s="2" t="n">
        <v>5510000</v>
      </c>
      <c r="V296" s="2" t="n">
        <v>807530</v>
      </c>
      <c r="W296" s="2" t="n">
        <v>122670</v>
      </c>
      <c r="X296" s="2" t="n">
        <v>88440</v>
      </c>
      <c r="Z296" s="2" t="n">
        <v>2980000</v>
      </c>
      <c r="AA296" s="2" t="n">
        <v>14410000</v>
      </c>
      <c r="AB296" s="2" t="n">
        <v>5010000</v>
      </c>
      <c r="AC296" s="2" t="n">
        <v>13070000</v>
      </c>
      <c r="AD296" s="2" t="n">
        <v>683570</v>
      </c>
      <c r="AE296" s="2" t="n">
        <v>56810</v>
      </c>
      <c r="AF296" s="2" t="n">
        <v>802250</v>
      </c>
    </row>
    <row r="297" ht="16" customHeight="1">
      <c r="A297" s="2" t="inlineStr">
        <is>
          <t>07/08/2025</t>
        </is>
      </c>
      <c r="B297" s="2" t="n">
        <v>358670</v>
      </c>
      <c r="C297" s="2" t="n">
        <v>208090</v>
      </c>
      <c r="D297" s="2" t="n">
        <v>14040</v>
      </c>
      <c r="E297" s="2" t="n">
        <v>13110000</v>
      </c>
      <c r="F297" s="2" t="n">
        <v>328550</v>
      </c>
      <c r="G297" s="2" t="n"/>
      <c r="H297" s="2" t="n">
        <v>378750</v>
      </c>
      <c r="I297" s="2" t="n">
        <v>357350</v>
      </c>
      <c r="J297" s="2" t="n">
        <v>47340000</v>
      </c>
      <c r="K297" s="2" t="n">
        <v>586350</v>
      </c>
      <c r="L297" s="2" t="n"/>
      <c r="M297" s="2" t="n">
        <v>325950</v>
      </c>
      <c r="N297" s="2" t="n"/>
      <c r="O297" s="2" t="n">
        <v>1220000</v>
      </c>
      <c r="P297" s="2" t="n">
        <v>2330000</v>
      </c>
      <c r="Q297" s="2" t="n">
        <v>13990</v>
      </c>
      <c r="R297" s="2" t="n">
        <v>279120</v>
      </c>
      <c r="S297" s="2" t="n">
        <v>533860</v>
      </c>
      <c r="T297" s="2" t="n">
        <v>35990</v>
      </c>
      <c r="U297" s="2" t="n">
        <v>3350000</v>
      </c>
      <c r="V297" s="2" t="n">
        <v>1000000</v>
      </c>
      <c r="W297" s="2" t="n">
        <v>153960</v>
      </c>
      <c r="X297" s="2" t="n">
        <v>170250</v>
      </c>
      <c r="Z297" s="2" t="n">
        <v>2540000</v>
      </c>
      <c r="AA297" s="2" t="n">
        <v>14730000</v>
      </c>
      <c r="AB297" s="2" t="n">
        <v>5650000</v>
      </c>
      <c r="AC297" s="2" t="n">
        <v>7020000</v>
      </c>
      <c r="AD297" s="2" t="n">
        <v>628010</v>
      </c>
      <c r="AE297" s="2" t="n">
        <v>32360</v>
      </c>
      <c r="AF297" s="2" t="n">
        <v>443160</v>
      </c>
    </row>
    <row r="298" ht="16" customHeight="1">
      <c r="A298" s="2" t="inlineStr">
        <is>
          <t>07/07/2025</t>
        </is>
      </c>
      <c r="B298" s="2" t="n">
        <v>336150</v>
      </c>
      <c r="C298" s="2" t="n">
        <v>173670</v>
      </c>
      <c r="D298" s="2" t="n">
        <v>8310</v>
      </c>
      <c r="E298" s="2" t="n">
        <v>12360000</v>
      </c>
      <c r="F298" s="2" t="n">
        <v>509050</v>
      </c>
      <c r="G298" s="2" t="n"/>
      <c r="H298" s="2" t="n">
        <v>355890</v>
      </c>
      <c r="I298" s="2" t="n">
        <v>591410</v>
      </c>
      <c r="J298" s="2" t="n">
        <v>47580000</v>
      </c>
      <c r="K298" s="2" t="n">
        <v>641480</v>
      </c>
      <c r="L298" s="2" t="n"/>
      <c r="M298" s="2" t="n">
        <v>2020000</v>
      </c>
      <c r="N298" s="2" t="n"/>
      <c r="O298" s="2" t="n">
        <v>1720000</v>
      </c>
      <c r="P298" s="2" t="n">
        <v>1590000</v>
      </c>
      <c r="Q298" s="2" t="n">
        <v>13240</v>
      </c>
      <c r="R298" s="2" t="n">
        <v>305550</v>
      </c>
      <c r="S298" s="2" t="n">
        <v>565300</v>
      </c>
      <c r="T298" s="2" t="n">
        <v>40910</v>
      </c>
      <c r="U298" s="2" t="n">
        <v>4960000</v>
      </c>
      <c r="V298" s="2" t="n">
        <v>1290000</v>
      </c>
      <c r="W298" s="2" t="n">
        <v>198440</v>
      </c>
      <c r="X298" s="2" t="n">
        <v>83010</v>
      </c>
      <c r="Z298" s="2" t="n">
        <v>2750000</v>
      </c>
      <c r="AA298" s="2" t="n">
        <v>15910000</v>
      </c>
      <c r="AB298" s="2" t="n">
        <v>7610000</v>
      </c>
      <c r="AC298" s="2" t="n">
        <v>8850000</v>
      </c>
      <c r="AD298" s="2" t="n">
        <v>1040000</v>
      </c>
      <c r="AE298" s="2" t="n">
        <v>35340</v>
      </c>
      <c r="AF298" s="2" t="n">
        <v>370520</v>
      </c>
    </row>
    <row r="299" ht="16" customHeight="1">
      <c r="A299" s="2" t="inlineStr">
        <is>
          <t>07/06/2025</t>
        </is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>
        <v>24830000</v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Z299" s="2" t="n"/>
      <c r="AA299" s="2" t="n"/>
      <c r="AB299" s="2" t="n"/>
      <c r="AC299" s="2" t="n"/>
      <c r="AD299" s="2" t="n"/>
      <c r="AE299" s="2" t="n">
        <v>21940</v>
      </c>
      <c r="AF299" s="2" t="n">
        <v>338450</v>
      </c>
    </row>
    <row r="300" ht="16" customHeight="1">
      <c r="A300" s="2" t="inlineStr">
        <is>
          <t>07/05/2025</t>
        </is>
      </c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>
        <v>27470000</v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Z300" s="2" t="n"/>
      <c r="AA300" s="2" t="n"/>
      <c r="AB300" s="2" t="n"/>
      <c r="AC300" s="2" t="n"/>
      <c r="AD300" s="2" t="n"/>
      <c r="AE300" s="2" t="n">
        <v>14930</v>
      </c>
      <c r="AF300" s="2" t="n">
        <v>192730</v>
      </c>
    </row>
    <row r="301" ht="16" customHeight="1">
      <c r="A301" s="2" t="inlineStr">
        <is>
          <t>07/04/2025</t>
        </is>
      </c>
      <c r="B301" s="2" t="n">
        <v>342600</v>
      </c>
      <c r="C301" s="2" t="n">
        <v>169050</v>
      </c>
      <c r="D301" s="2" t="n">
        <v>11440</v>
      </c>
      <c r="E301" s="2" t="n"/>
      <c r="F301" s="2" t="n"/>
      <c r="G301" s="2" t="n"/>
      <c r="H301" s="2" t="n"/>
      <c r="I301" s="2" t="n"/>
      <c r="J301" s="2" t="n">
        <v>55500000</v>
      </c>
      <c r="K301" s="2" t="n">
        <v>753250</v>
      </c>
      <c r="L301" s="2" t="n"/>
      <c r="M301" s="2" t="n">
        <v>1980000</v>
      </c>
      <c r="N301" s="2" t="n"/>
      <c r="O301" s="2" t="n"/>
      <c r="P301" s="2" t="n"/>
      <c r="Q301" s="2" t="n">
        <v>15700</v>
      </c>
      <c r="R301" s="2" t="n">
        <v>561930</v>
      </c>
      <c r="S301" s="2" t="n">
        <v>563790</v>
      </c>
      <c r="T301" s="2" t="n">
        <v>81510</v>
      </c>
      <c r="U301" s="2" t="n">
        <v>2930000</v>
      </c>
      <c r="V301" s="2" t="n">
        <v>1080000</v>
      </c>
      <c r="W301" s="2" t="n">
        <v>166710</v>
      </c>
      <c r="X301" s="2" t="n">
        <v>104960</v>
      </c>
      <c r="Z301" s="2" t="n"/>
      <c r="AA301" s="2" t="n"/>
      <c r="AB301" s="2" t="n"/>
      <c r="AC301" s="2" t="n"/>
      <c r="AD301" s="2" t="n"/>
      <c r="AE301" s="2" t="n">
        <v>40920</v>
      </c>
      <c r="AF301" s="2" t="n">
        <v>516840.0000000001</v>
      </c>
    </row>
    <row r="302" ht="16" customHeight="1">
      <c r="A302" s="2" t="inlineStr">
        <is>
          <t>07/03/2025</t>
        </is>
      </c>
      <c r="B302" s="2" t="n">
        <v>424990</v>
      </c>
      <c r="C302" s="2" t="n">
        <v>196330</v>
      </c>
      <c r="D302" s="2" t="n">
        <v>9870</v>
      </c>
      <c r="E302" s="2" t="n">
        <v>7400000</v>
      </c>
      <c r="F302" s="2" t="n">
        <v>212150</v>
      </c>
      <c r="G302" s="2" t="n"/>
      <c r="H302" s="2" t="n">
        <v>218920</v>
      </c>
      <c r="I302" s="2" t="n">
        <v>238350</v>
      </c>
      <c r="J302" s="2" t="n">
        <v>81910000</v>
      </c>
      <c r="K302" s="2" t="n">
        <v>690970</v>
      </c>
      <c r="L302" s="2" t="n"/>
      <c r="M302" s="2" t="n">
        <v>270090</v>
      </c>
      <c r="N302" s="2" t="n"/>
      <c r="O302" s="2" t="n">
        <v>1810000</v>
      </c>
      <c r="P302" s="2" t="n">
        <v>2240000</v>
      </c>
      <c r="Q302" s="2" t="n">
        <v>19780</v>
      </c>
      <c r="R302" s="2" t="n">
        <v>330510</v>
      </c>
      <c r="S302" s="2" t="n">
        <v>584890</v>
      </c>
      <c r="T302" s="2" t="n">
        <v>72450</v>
      </c>
      <c r="U302" s="2" t="n">
        <v>2370000</v>
      </c>
      <c r="V302" s="2" t="n">
        <v>1070000</v>
      </c>
      <c r="W302" s="2" t="n">
        <v>174810</v>
      </c>
      <c r="X302" s="2" t="n">
        <v>98920</v>
      </c>
      <c r="Z302" s="2" t="n">
        <v>1960000</v>
      </c>
      <c r="AA302" s="2" t="n">
        <v>8820000</v>
      </c>
      <c r="AB302" s="2" t="n">
        <v>2930000</v>
      </c>
      <c r="AC302" s="2" t="n">
        <v>10010000</v>
      </c>
      <c r="AD302" s="2" t="n">
        <v>624900</v>
      </c>
      <c r="AE302" s="2" t="n">
        <v>45390</v>
      </c>
      <c r="AF302" s="2" t="n">
        <v>577470</v>
      </c>
    </row>
    <row r="303" ht="16" customHeight="1">
      <c r="A303" s="2" t="inlineStr">
        <is>
          <t>07/02/2025</t>
        </is>
      </c>
      <c r="B303" s="2" t="n">
        <v>320900</v>
      </c>
      <c r="C303" s="2" t="n">
        <v>236220</v>
      </c>
      <c r="D303" s="2" t="n">
        <v>11420</v>
      </c>
      <c r="E303" s="2" t="n">
        <v>10850000</v>
      </c>
      <c r="F303" s="2" t="n">
        <v>906100</v>
      </c>
      <c r="G303" s="2" t="n"/>
      <c r="H303" s="2" t="n">
        <v>761500</v>
      </c>
      <c r="I303" s="2" t="n">
        <v>721160</v>
      </c>
      <c r="J303" s="2" t="n">
        <v>84950000</v>
      </c>
      <c r="K303" s="2" t="n">
        <v>758810</v>
      </c>
      <c r="L303" s="2" t="n"/>
      <c r="M303" s="2" t="n">
        <v>275990</v>
      </c>
      <c r="N303" s="2" t="n"/>
      <c r="O303" s="2" t="n">
        <v>2060000</v>
      </c>
      <c r="P303" s="2" t="n">
        <v>1620000</v>
      </c>
      <c r="Q303" s="2" t="n">
        <v>25600</v>
      </c>
      <c r="R303" s="2" t="n">
        <v>294660</v>
      </c>
      <c r="S303" s="2" t="n">
        <v>1250000</v>
      </c>
      <c r="T303" s="2" t="n">
        <v>83580</v>
      </c>
      <c r="U303" s="2" t="n">
        <v>4100000</v>
      </c>
      <c r="V303" s="2" t="n">
        <v>1080000</v>
      </c>
      <c r="W303" s="2" t="n">
        <v>149010</v>
      </c>
      <c r="X303" s="2" t="n">
        <v>110800</v>
      </c>
      <c r="Z303" s="2" t="n">
        <v>3450000</v>
      </c>
      <c r="AA303" s="2" t="n">
        <v>15530000</v>
      </c>
      <c r="AB303" s="2" t="n">
        <v>14700000</v>
      </c>
      <c r="AC303" s="2" t="n">
        <v>17450000</v>
      </c>
      <c r="AD303" s="2" t="n">
        <v>1150000</v>
      </c>
      <c r="AE303" s="2" t="n">
        <v>62510</v>
      </c>
      <c r="AF303" s="2" t="n">
        <v>723080</v>
      </c>
    </row>
    <row r="304" ht="16" customHeight="1">
      <c r="A304" s="2" t="inlineStr">
        <is>
          <t>07/01/2025</t>
        </is>
      </c>
      <c r="B304" s="2" t="n">
        <v>394100</v>
      </c>
      <c r="C304" s="2" t="n">
        <v>219600</v>
      </c>
      <c r="D304" s="2" t="n">
        <v>17690</v>
      </c>
      <c r="E304" s="2" t="n">
        <v>24170000</v>
      </c>
      <c r="F304" s="2" t="n">
        <v>750220</v>
      </c>
      <c r="G304" s="2" t="n"/>
      <c r="H304" s="2" t="n">
        <v>420130</v>
      </c>
      <c r="I304" s="2" t="n">
        <v>386880</v>
      </c>
      <c r="J304" s="2" t="n">
        <v>67650000</v>
      </c>
      <c r="K304" s="2" t="n">
        <v>665830</v>
      </c>
      <c r="L304" s="2" t="n"/>
      <c r="M304" s="2" t="n">
        <v>512659.9999999999</v>
      </c>
      <c r="N304" s="2" t="n"/>
      <c r="O304" s="2" t="n">
        <v>2230000</v>
      </c>
      <c r="P304" s="2" t="n">
        <v>2430000</v>
      </c>
      <c r="Q304" s="2" t="n">
        <v>42640</v>
      </c>
      <c r="R304" s="2" t="n">
        <v>362320</v>
      </c>
      <c r="S304" s="2" t="n">
        <v>1010000</v>
      </c>
      <c r="T304" s="2" t="n">
        <v>91460</v>
      </c>
      <c r="U304" s="2" t="n">
        <v>7850000</v>
      </c>
      <c r="V304" s="2" t="n">
        <v>1400000</v>
      </c>
      <c r="W304" s="2" t="n">
        <v>227070</v>
      </c>
      <c r="X304" s="2" t="n">
        <v>131610</v>
      </c>
      <c r="Z304" s="2" t="n">
        <v>4690000</v>
      </c>
      <c r="AA304" s="2" t="n">
        <v>25630000</v>
      </c>
      <c r="AB304" s="2" t="n">
        <v>15610000</v>
      </c>
      <c r="AC304" s="2" t="n">
        <v>17290000</v>
      </c>
      <c r="AD304" s="2" t="n">
        <v>1110000</v>
      </c>
      <c r="AE304" s="2" t="n">
        <v>40280</v>
      </c>
      <c r="AF304" s="2" t="n">
        <v>405620</v>
      </c>
    </row>
    <row r="305" ht="16" customHeight="1">
      <c r="A305" s="2" t="inlineStr">
        <is>
          <t>06/30/2025</t>
        </is>
      </c>
      <c r="B305" s="2" t="n">
        <v>43880</v>
      </c>
      <c r="C305" s="2" t="n">
        <v>189910</v>
      </c>
      <c r="D305" s="2" t="n">
        <v>9950</v>
      </c>
      <c r="E305" s="2" t="n">
        <v>18200000</v>
      </c>
      <c r="F305" s="2" t="n">
        <v>1170000</v>
      </c>
      <c r="G305" s="2" t="n"/>
      <c r="H305" s="2" t="n">
        <v>1870000</v>
      </c>
      <c r="I305" s="2" t="n">
        <v>716220</v>
      </c>
      <c r="J305" s="2" t="n">
        <v>45030000</v>
      </c>
      <c r="K305" s="2" t="n">
        <v>800060</v>
      </c>
      <c r="L305" s="2" t="n"/>
      <c r="M305" s="2" t="n">
        <v>461840</v>
      </c>
      <c r="N305" s="2" t="n"/>
      <c r="O305" s="2" t="n">
        <v>2640000</v>
      </c>
      <c r="P305" s="2" t="n">
        <v>1520000</v>
      </c>
      <c r="Q305" s="2" t="n">
        <v>19140</v>
      </c>
      <c r="R305" s="2" t="n">
        <v>289060</v>
      </c>
      <c r="S305" s="2" t="n">
        <v>399340</v>
      </c>
      <c r="T305" s="2" t="n">
        <v>23090</v>
      </c>
      <c r="U305" s="2" t="n">
        <v>4090000</v>
      </c>
      <c r="V305" s="2" t="n">
        <v>1070000</v>
      </c>
      <c r="W305" s="2" t="n">
        <v>188880</v>
      </c>
      <c r="X305" s="2" t="n">
        <v>67640</v>
      </c>
      <c r="Z305" s="2" t="n">
        <v>4330000</v>
      </c>
      <c r="AA305" s="2" t="n">
        <v>24160000</v>
      </c>
      <c r="AB305" s="2" t="n">
        <v>8300000.000000001</v>
      </c>
      <c r="AC305" s="2" t="n">
        <v>13750000</v>
      </c>
      <c r="AD305" s="2" t="n">
        <v>1080000</v>
      </c>
      <c r="AE305" s="2" t="n">
        <v>37460</v>
      </c>
      <c r="AF305" s="2" t="n">
        <v>503140</v>
      </c>
    </row>
    <row r="306" ht="16" customHeight="1">
      <c r="A306" s="2" t="inlineStr">
        <is>
          <t>06/29/2025</t>
        </is>
      </c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>
        <v>32420000</v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Z306" s="2" t="n"/>
      <c r="AA306" s="2" t="n"/>
      <c r="AB306" s="2" t="n"/>
      <c r="AC306" s="2" t="n"/>
      <c r="AD306" s="2" t="n"/>
      <c r="AE306" s="2" t="n">
        <v>25960</v>
      </c>
      <c r="AF306" s="2" t="n">
        <v>330660</v>
      </c>
    </row>
    <row r="307" ht="16" customHeight="1">
      <c r="A307" s="2" t="inlineStr">
        <is>
          <t>06/28/2025</t>
        </is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>
        <v>21660000</v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Z307" s="2" t="n"/>
      <c r="AA307" s="2" t="n"/>
      <c r="AB307" s="2" t="n"/>
      <c r="AC307" s="2" t="n"/>
      <c r="AD307" s="2" t="n"/>
      <c r="AE307" s="2" t="n">
        <v>14260</v>
      </c>
      <c r="AF307" s="2" t="n">
        <v>187180</v>
      </c>
    </row>
    <row r="308" ht="16" customHeight="1">
      <c r="A308" s="2" t="inlineStr">
        <is>
          <t>06/27/2025</t>
        </is>
      </c>
      <c r="B308" s="2" t="n">
        <v>175300</v>
      </c>
      <c r="C308" s="2" t="n">
        <v>183950</v>
      </c>
      <c r="D308" s="2" t="n">
        <v>10880</v>
      </c>
      <c r="E308" s="2" t="n">
        <v>9740000</v>
      </c>
      <c r="F308" s="2" t="n">
        <v>244790</v>
      </c>
      <c r="G308" s="2" t="n"/>
      <c r="H308" s="2" t="n">
        <v>182850</v>
      </c>
      <c r="I308" s="2" t="n">
        <v>228850</v>
      </c>
      <c r="J308" s="2" t="n">
        <v>43430000</v>
      </c>
      <c r="K308" s="2" t="n">
        <v>893710</v>
      </c>
      <c r="L308" s="2" t="n"/>
      <c r="M308" s="2" t="n">
        <v>2440000</v>
      </c>
      <c r="N308" s="2" t="n"/>
      <c r="O308" s="2" t="n">
        <v>1650000</v>
      </c>
      <c r="P308" s="2" t="n">
        <v>1450000</v>
      </c>
      <c r="Q308" s="2" t="n">
        <v>10030</v>
      </c>
      <c r="R308" s="2" t="n">
        <v>339060</v>
      </c>
      <c r="S308" s="2" t="n">
        <v>409380</v>
      </c>
      <c r="T308" s="2" t="n">
        <v>80500</v>
      </c>
      <c r="U308" s="2" t="n">
        <v>5280000</v>
      </c>
      <c r="V308" s="2" t="n">
        <v>1030000</v>
      </c>
      <c r="W308" s="2" t="n">
        <v>154560</v>
      </c>
      <c r="X308" s="2" t="n">
        <v>148980</v>
      </c>
      <c r="Z308" s="2" t="n">
        <v>2310000</v>
      </c>
      <c r="AA308" s="2" t="n">
        <v>20890000</v>
      </c>
      <c r="AB308" s="2" t="n">
        <v>20130000</v>
      </c>
      <c r="AC308" s="2" t="n">
        <v>18690000</v>
      </c>
      <c r="AD308" s="2" t="n">
        <v>831680</v>
      </c>
      <c r="AE308" s="2" t="n">
        <v>46240</v>
      </c>
      <c r="AF308" s="2" t="n">
        <v>443770</v>
      </c>
    </row>
    <row r="309" ht="16" customHeight="1">
      <c r="A309" s="2" t="inlineStr">
        <is>
          <t>06/26/2025</t>
        </is>
      </c>
      <c r="B309" s="2" t="n">
        <v>393420</v>
      </c>
      <c r="C309" s="2" t="n">
        <v>202920</v>
      </c>
      <c r="D309" s="2" t="n">
        <v>13620</v>
      </c>
      <c r="E309" s="2" t="n">
        <v>9280000</v>
      </c>
      <c r="F309" s="2" t="n">
        <v>223760</v>
      </c>
      <c r="G309" s="2" t="n"/>
      <c r="H309" s="2" t="n">
        <v>404740</v>
      </c>
      <c r="I309" s="2" t="n">
        <v>221740</v>
      </c>
      <c r="J309" s="2" t="n">
        <v>74120000</v>
      </c>
      <c r="K309" s="2" t="n">
        <v>901100</v>
      </c>
      <c r="L309" s="2" t="n"/>
      <c r="M309" s="2" t="n">
        <v>297750</v>
      </c>
      <c r="N309" s="2" t="n"/>
      <c r="O309" s="2" t="n">
        <v>1490000</v>
      </c>
      <c r="P309" s="2" t="n">
        <v>928040</v>
      </c>
      <c r="Q309" s="2" t="n">
        <v>19530</v>
      </c>
      <c r="R309" s="2" t="n">
        <v>413700</v>
      </c>
      <c r="S309" s="2" t="n">
        <v>490330</v>
      </c>
      <c r="T309" s="2" t="n">
        <v>135440</v>
      </c>
      <c r="U309" s="2" t="n">
        <v>4570000</v>
      </c>
      <c r="V309" s="2" t="n">
        <v>945350</v>
      </c>
      <c r="W309" s="2" t="n">
        <v>130520</v>
      </c>
      <c r="X309" s="2" t="n">
        <v>181520</v>
      </c>
      <c r="Z309" s="2" t="n">
        <v>2210000</v>
      </c>
      <c r="AA309" s="2" t="n">
        <v>17010000</v>
      </c>
      <c r="AB309" s="2" t="n">
        <v>11290000</v>
      </c>
      <c r="AC309" s="2" t="n">
        <v>10200000</v>
      </c>
      <c r="AD309" s="2" t="n">
        <v>590540</v>
      </c>
      <c r="AE309" s="2" t="n">
        <v>38700</v>
      </c>
      <c r="AF309" s="2" t="n">
        <v>547430</v>
      </c>
    </row>
    <row r="310" ht="16" customHeight="1">
      <c r="A310" s="2" t="inlineStr">
        <is>
          <t>06/25/2025</t>
        </is>
      </c>
      <c r="B310" s="2" t="n">
        <v>331610</v>
      </c>
      <c r="C310" s="2" t="n">
        <v>207740</v>
      </c>
      <c r="D310" s="2" t="n">
        <v>12480</v>
      </c>
      <c r="E310" s="2" t="n">
        <v>8020000</v>
      </c>
      <c r="F310" s="2" t="n">
        <v>269530</v>
      </c>
      <c r="G310" s="2" t="n"/>
      <c r="H310" s="2" t="n">
        <v>150020</v>
      </c>
      <c r="I310" s="2" t="n">
        <v>109180</v>
      </c>
      <c r="J310" s="2" t="n">
        <v>59830000</v>
      </c>
      <c r="K310" s="2" t="n">
        <v>861270</v>
      </c>
      <c r="L310" s="2" t="n"/>
      <c r="M310" s="2" t="n">
        <v>228750</v>
      </c>
      <c r="N310" s="2" t="n"/>
      <c r="O310" s="2" t="n">
        <v>1190000</v>
      </c>
      <c r="P310" s="2" t="n">
        <v>1130000</v>
      </c>
      <c r="Q310" s="2" t="n">
        <v>21370</v>
      </c>
      <c r="R310" s="2" t="n">
        <v>481810</v>
      </c>
      <c r="S310" s="2" t="n">
        <v>362930</v>
      </c>
      <c r="T310" s="2" t="n">
        <v>166550</v>
      </c>
      <c r="U310" s="2" t="n">
        <v>4340000</v>
      </c>
      <c r="V310" s="2" t="n">
        <v>818790</v>
      </c>
      <c r="W310" s="2" t="n">
        <v>197790</v>
      </c>
      <c r="X310" s="2" t="n">
        <v>86850</v>
      </c>
      <c r="Z310" s="2" t="n">
        <v>2370000</v>
      </c>
      <c r="AA310" s="2" t="n">
        <v>20740000</v>
      </c>
      <c r="AB310" s="2" t="n">
        <v>5700000</v>
      </c>
      <c r="AC310" s="2" t="n">
        <v>10610000</v>
      </c>
      <c r="AD310" s="2" t="n">
        <v>552740</v>
      </c>
      <c r="AE310" s="2" t="n">
        <v>58140</v>
      </c>
      <c r="AF310" s="2" t="n">
        <v>497520</v>
      </c>
    </row>
    <row r="311" ht="16" customHeight="1">
      <c r="A311" s="2" t="inlineStr">
        <is>
          <t>06/24/2025</t>
        </is>
      </c>
      <c r="B311" s="2" t="n">
        <v>356660</v>
      </c>
      <c r="C311" s="2" t="n">
        <v>219170</v>
      </c>
      <c r="D311" s="2" t="n">
        <v>15730</v>
      </c>
      <c r="E311" s="2" t="n">
        <v>10130000</v>
      </c>
      <c r="F311" s="2" t="n">
        <v>133280</v>
      </c>
      <c r="G311" s="2" t="n"/>
      <c r="H311" s="2" t="n">
        <v>206600</v>
      </c>
      <c r="I311" s="2" t="n">
        <v>111550</v>
      </c>
      <c r="J311" s="2" t="n">
        <v>69820000</v>
      </c>
      <c r="K311" s="2" t="n">
        <v>1550000</v>
      </c>
      <c r="L311" s="2" t="n"/>
      <c r="M311" s="2" t="n">
        <v>303910</v>
      </c>
      <c r="N311" s="2" t="n"/>
      <c r="O311" s="2" t="n">
        <v>1690000</v>
      </c>
      <c r="P311" s="2" t="n">
        <v>1060000</v>
      </c>
      <c r="Q311" s="2" t="n">
        <v>25150</v>
      </c>
      <c r="R311" s="2" t="n">
        <v>503750</v>
      </c>
      <c r="S311" s="2" t="n">
        <v>520419.9999999999</v>
      </c>
      <c r="T311" s="2" t="n">
        <v>91300</v>
      </c>
      <c r="U311" s="2" t="n">
        <v>7200000</v>
      </c>
      <c r="V311" s="2" t="n">
        <v>1750000</v>
      </c>
      <c r="W311" s="2" t="n">
        <v>154980</v>
      </c>
      <c r="X311" s="2" t="n">
        <v>113260</v>
      </c>
      <c r="Z311" s="2" t="n">
        <v>3820000</v>
      </c>
      <c r="AA311" s="2" t="n">
        <v>19850000</v>
      </c>
      <c r="AB311" s="2" t="n">
        <v>13400000</v>
      </c>
      <c r="AC311" s="2" t="n">
        <v>10170000</v>
      </c>
      <c r="AD311" s="2" t="n">
        <v>628940</v>
      </c>
      <c r="AE311" s="2" t="n">
        <v>52810</v>
      </c>
      <c r="AF311" s="2" t="n">
        <v>605390</v>
      </c>
    </row>
    <row r="312" ht="16" customHeight="1">
      <c r="A312" s="2" t="inlineStr">
        <is>
          <t>06/23/2025</t>
        </is>
      </c>
      <c r="B312" s="2" t="n">
        <v>327080</v>
      </c>
      <c r="C312" s="2" t="n">
        <v>188720</v>
      </c>
      <c r="D312" s="2" t="n">
        <v>10620</v>
      </c>
      <c r="E312" s="2" t="n">
        <v>8850000</v>
      </c>
      <c r="F312" s="2" t="n">
        <v>152670</v>
      </c>
      <c r="G312" s="2" t="n"/>
      <c r="H312" s="2" t="n">
        <v>155870</v>
      </c>
      <c r="I312" s="2" t="n">
        <v>99480</v>
      </c>
      <c r="J312" s="2" t="n">
        <v>70490000</v>
      </c>
      <c r="K312" s="2" t="n">
        <v>1070000</v>
      </c>
      <c r="L312" s="2" t="n"/>
      <c r="M312" s="2" t="n">
        <v>252460</v>
      </c>
      <c r="N312" s="2" t="n"/>
      <c r="O312" s="2" t="n">
        <v>2170000</v>
      </c>
      <c r="P312" s="2" t="n">
        <v>1260000</v>
      </c>
      <c r="Q312" s="2" t="n">
        <v>20290</v>
      </c>
      <c r="R312" s="2" t="n">
        <v>646540</v>
      </c>
      <c r="S312" s="2" t="n">
        <v>545750</v>
      </c>
      <c r="T312" s="2" t="n">
        <v>50950</v>
      </c>
      <c r="U312" s="2" t="n">
        <v>3630000</v>
      </c>
      <c r="V312" s="2" t="n">
        <v>1350000</v>
      </c>
      <c r="W312" s="2" t="n">
        <v>228970</v>
      </c>
      <c r="X312" s="2" t="n">
        <v>222470</v>
      </c>
      <c r="Z312" s="2" t="n">
        <v>2520000</v>
      </c>
      <c r="AA312" s="2" t="n">
        <v>18940000</v>
      </c>
      <c r="AB312" s="2" t="n">
        <v>7890000</v>
      </c>
      <c r="AC312" s="2" t="n">
        <v>10610000</v>
      </c>
      <c r="AD312" s="2" t="n">
        <v>963650</v>
      </c>
      <c r="AE312" s="2" t="n">
        <v>83160</v>
      </c>
      <c r="AF312" s="2" t="n">
        <v>847430</v>
      </c>
    </row>
    <row r="313" ht="16" customHeight="1">
      <c r="A313" s="2" t="inlineStr">
        <is>
          <t>06/22/2025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>
        <v>78930000</v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Z313" s="2" t="n"/>
      <c r="AA313" s="2" t="n"/>
      <c r="AB313" s="2" t="n"/>
      <c r="AC313" s="2" t="n"/>
      <c r="AD313" s="2" t="n"/>
      <c r="AE313" s="2" t="n">
        <v>81370</v>
      </c>
      <c r="AF313" s="2" t="n">
        <v>948760</v>
      </c>
    </row>
    <row r="314" ht="16" customHeight="1">
      <c r="A314" s="2" t="inlineStr">
        <is>
          <t>06/21/2025</t>
        </is>
      </c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>
        <v>65739999.99999999</v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Z314" s="2" t="n"/>
      <c r="AA314" s="2" t="n"/>
      <c r="AB314" s="2" t="n"/>
      <c r="AC314" s="2" t="n"/>
      <c r="AD314" s="2" t="n"/>
      <c r="AE314" s="2" t="n">
        <v>37520</v>
      </c>
      <c r="AF314" s="2" t="n">
        <v>559630</v>
      </c>
    </row>
    <row r="315" ht="16" customHeight="1">
      <c r="A315" s="2" t="inlineStr">
        <is>
          <t>06/20/2025</t>
        </is>
      </c>
      <c r="B315" s="2" t="n">
        <v>339640</v>
      </c>
      <c r="C315" s="2" t="n">
        <v>150870</v>
      </c>
      <c r="D315" s="2" t="n">
        <v>8860</v>
      </c>
      <c r="E315" s="2" t="n">
        <v>9400000</v>
      </c>
      <c r="F315" s="2" t="n">
        <v>230040</v>
      </c>
      <c r="G315" s="2" t="n"/>
      <c r="H315" s="2" t="n">
        <v>119130</v>
      </c>
      <c r="I315" s="2" t="n">
        <v>192080</v>
      </c>
      <c r="J315" s="2" t="n">
        <v>75750000</v>
      </c>
      <c r="K315" s="2" t="n">
        <v>800470</v>
      </c>
      <c r="L315" s="2" t="n"/>
      <c r="M315" s="2" t="n">
        <v>218550</v>
      </c>
      <c r="N315" s="2" t="n"/>
      <c r="O315" s="2" t="n">
        <v>1330000</v>
      </c>
      <c r="P315" s="2" t="n">
        <v>1270000</v>
      </c>
      <c r="Q315" s="2" t="n">
        <v>15680</v>
      </c>
      <c r="R315" s="2" t="n">
        <v>412830</v>
      </c>
      <c r="S315" s="2" t="n">
        <v>413500</v>
      </c>
      <c r="T315" s="2" t="n">
        <v>660630</v>
      </c>
      <c r="U315" s="2" t="n">
        <v>4900000</v>
      </c>
      <c r="V315" s="2" t="n">
        <v>883220</v>
      </c>
      <c r="W315" s="2" t="n">
        <v>110790</v>
      </c>
      <c r="X315" s="2" t="n">
        <v>126880</v>
      </c>
      <c r="Z315" s="2" t="n">
        <v>3760000</v>
      </c>
      <c r="AA315" s="2" t="n">
        <v>14260000</v>
      </c>
      <c r="AB315" s="2" t="n">
        <v>20320000</v>
      </c>
      <c r="AC315" s="2" t="n">
        <v>12820000</v>
      </c>
      <c r="AD315" s="2" t="n">
        <v>1090000</v>
      </c>
      <c r="AE315" s="2" t="n">
        <v>51480</v>
      </c>
      <c r="AF315" s="2" t="n">
        <v>714240</v>
      </c>
    </row>
    <row r="316" ht="16" customHeight="1">
      <c r="A316" s="2" t="inlineStr">
        <is>
          <t>06/19/2025</t>
        </is>
      </c>
      <c r="B316" s="2" t="n">
        <v>395270</v>
      </c>
      <c r="C316" s="2" t="n">
        <v>159110</v>
      </c>
      <c r="D316" s="2" t="n">
        <v>10580</v>
      </c>
      <c r="E316" s="2" t="n"/>
      <c r="F316" s="2" t="n"/>
      <c r="G316" s="2" t="n"/>
      <c r="H316" s="2" t="n"/>
      <c r="I316" s="2" t="n"/>
      <c r="J316" s="2" t="n">
        <v>47390000</v>
      </c>
      <c r="K316" s="2" t="n">
        <v>781360</v>
      </c>
      <c r="L316" s="2" t="n"/>
      <c r="M316" s="2" t="n">
        <v>280710</v>
      </c>
      <c r="N316" s="2" t="n"/>
      <c r="O316" s="2" t="n"/>
      <c r="P316" s="2" t="n"/>
      <c r="Q316" s="2" t="n">
        <v>10760</v>
      </c>
      <c r="R316" s="2" t="n">
        <v>429200</v>
      </c>
      <c r="S316" s="2" t="n">
        <v>369010</v>
      </c>
      <c r="T316" s="2" t="n">
        <v>293040</v>
      </c>
      <c r="U316" s="2" t="n">
        <v>2930000</v>
      </c>
      <c r="V316" s="2" t="n">
        <v>1000000</v>
      </c>
      <c r="W316" s="2" t="n">
        <v>137730</v>
      </c>
      <c r="X316" s="2" t="n">
        <v>110770</v>
      </c>
      <c r="Z316" s="2" t="n"/>
      <c r="AA316" s="2" t="n"/>
      <c r="AB316" s="2" t="n"/>
      <c r="AC316" s="2" t="n"/>
      <c r="AD316" s="2" t="n"/>
      <c r="AE316" s="2" t="n">
        <v>28470</v>
      </c>
      <c r="AF316" s="2" t="n">
        <v>289130</v>
      </c>
    </row>
    <row r="317" ht="16" customHeight="1">
      <c r="A317" s="2" t="inlineStr">
        <is>
          <t>06/18/2025</t>
        </is>
      </c>
      <c r="B317" s="2" t="n">
        <v>367230</v>
      </c>
      <c r="C317" s="2" t="n">
        <v>199640</v>
      </c>
      <c r="D317" s="2" t="n">
        <v>9160</v>
      </c>
      <c r="E317" s="2" t="n">
        <v>9780000</v>
      </c>
      <c r="F317" s="2" t="n">
        <v>245300</v>
      </c>
      <c r="G317" s="2" t="n"/>
      <c r="H317" s="2" t="n">
        <v>178980</v>
      </c>
      <c r="I317" s="2" t="n">
        <v>285260</v>
      </c>
      <c r="J317" s="2" t="n">
        <v>48270000</v>
      </c>
      <c r="K317" s="2" t="n">
        <v>716170</v>
      </c>
      <c r="L317" s="2" t="n"/>
      <c r="M317" s="2" t="n">
        <v>339370</v>
      </c>
      <c r="N317" s="2" t="n"/>
      <c r="O317" s="2" t="n">
        <v>1960000</v>
      </c>
      <c r="P317" s="2" t="n">
        <v>1050000</v>
      </c>
      <c r="Q317" s="2" t="n">
        <v>14060</v>
      </c>
      <c r="R317" s="2" t="n">
        <v>370090</v>
      </c>
      <c r="S317" s="2" t="n">
        <v>361910</v>
      </c>
      <c r="T317" s="2" t="n">
        <v>135930</v>
      </c>
      <c r="U317" s="2" t="n">
        <v>2560000</v>
      </c>
      <c r="V317" s="2" t="n">
        <v>794900</v>
      </c>
      <c r="W317" s="2" t="n">
        <v>147770</v>
      </c>
      <c r="X317" s="2" t="n">
        <v>150040</v>
      </c>
      <c r="Z317" s="2" t="n">
        <v>1910000</v>
      </c>
      <c r="AA317" s="2" t="n">
        <v>13840000</v>
      </c>
      <c r="AB317" s="2" t="n">
        <v>5610000</v>
      </c>
      <c r="AC317" s="2" t="n">
        <v>9200000</v>
      </c>
      <c r="AD317" s="2" t="n">
        <v>710020</v>
      </c>
      <c r="AE317" s="2" t="n">
        <v>45600</v>
      </c>
      <c r="AF317" s="2" t="n">
        <v>564960</v>
      </c>
    </row>
    <row r="318" ht="16" customHeight="1">
      <c r="A318" s="2" t="inlineStr">
        <is>
          <t>06/17/2025</t>
        </is>
      </c>
      <c r="B318" s="2" t="n">
        <v>332930</v>
      </c>
      <c r="C318" s="2" t="n">
        <v>165190</v>
      </c>
      <c r="D318" s="2" t="n">
        <v>10150</v>
      </c>
      <c r="E318" s="2" t="n">
        <v>8730000</v>
      </c>
      <c r="F318" s="2" t="n">
        <v>153700</v>
      </c>
      <c r="G318" s="2" t="n"/>
      <c r="H318" s="2" t="n">
        <v>220660</v>
      </c>
      <c r="I318" s="2" t="n">
        <v>113800</v>
      </c>
      <c r="J318" s="2" t="n">
        <v>69300000</v>
      </c>
      <c r="K318" s="2" t="n">
        <v>1170000</v>
      </c>
      <c r="L318" s="2" t="n"/>
      <c r="M318" s="2" t="n">
        <v>327190</v>
      </c>
      <c r="N318" s="2" t="n"/>
      <c r="O318" s="2" t="n">
        <v>1530000</v>
      </c>
      <c r="P318" s="2" t="n">
        <v>1720000</v>
      </c>
      <c r="Q318" s="2" t="n">
        <v>9900</v>
      </c>
      <c r="R318" s="2" t="n">
        <v>580850</v>
      </c>
      <c r="S318" s="2" t="n">
        <v>371950</v>
      </c>
      <c r="T318" s="2" t="n">
        <v>89090</v>
      </c>
      <c r="U318" s="2" t="n">
        <v>4280000</v>
      </c>
      <c r="V318" s="2" t="n">
        <v>810210</v>
      </c>
      <c r="W318" s="2" t="n">
        <v>190280</v>
      </c>
      <c r="X318" s="2" t="n">
        <v>214740</v>
      </c>
      <c r="Z318" s="2" t="n">
        <v>2540000</v>
      </c>
      <c r="AA318" s="2" t="n">
        <v>12380000</v>
      </c>
      <c r="AB318" s="2" t="n">
        <v>13610000</v>
      </c>
      <c r="AC318" s="2" t="n">
        <v>11220000</v>
      </c>
      <c r="AD318" s="2" t="n">
        <v>616840</v>
      </c>
      <c r="AE318" s="2" t="n">
        <v>60730</v>
      </c>
      <c r="AF318" s="2" t="n">
        <v>788110</v>
      </c>
    </row>
    <row r="319" ht="16" customHeight="1">
      <c r="A319" s="2" t="inlineStr">
        <is>
          <t>06/16/2025</t>
        </is>
      </c>
      <c r="B319" s="2" t="n">
        <v>332680</v>
      </c>
      <c r="C319" s="2" t="n">
        <v>223040</v>
      </c>
      <c r="D319" s="2" t="n">
        <v>11490</v>
      </c>
      <c r="E319" s="2" t="n">
        <v>10290000</v>
      </c>
      <c r="F319" s="2" t="n">
        <v>262110</v>
      </c>
      <c r="G319" s="2" t="n"/>
      <c r="H319" s="2" t="n">
        <v>192070</v>
      </c>
      <c r="I319" s="2" t="n">
        <v>185900</v>
      </c>
      <c r="J319" s="2" t="n">
        <v>65280000</v>
      </c>
      <c r="K319" s="2" t="n">
        <v>1470000</v>
      </c>
      <c r="L319" s="2" t="n"/>
      <c r="M319" s="2" t="n">
        <v>306820</v>
      </c>
      <c r="N319" s="2" t="n"/>
      <c r="O319" s="2" t="n">
        <v>1960000</v>
      </c>
      <c r="P319" s="2" t="n">
        <v>1130000</v>
      </c>
      <c r="Q319" s="2" t="n">
        <v>28850</v>
      </c>
      <c r="R319" s="2" t="n">
        <v>416010</v>
      </c>
      <c r="S319" s="2" t="n">
        <v>462990</v>
      </c>
      <c r="T319" s="2" t="n">
        <v>331770</v>
      </c>
      <c r="U319" s="2" t="n">
        <v>3970000</v>
      </c>
      <c r="V319" s="2" t="n">
        <v>963600</v>
      </c>
      <c r="W319" s="2" t="n">
        <v>142840</v>
      </c>
      <c r="X319" s="2" t="n">
        <v>203760</v>
      </c>
      <c r="Z319" s="2" t="n">
        <v>2340000</v>
      </c>
      <c r="AA319" s="2" t="n">
        <v>13920000</v>
      </c>
      <c r="AB319" s="2" t="n">
        <v>11330000</v>
      </c>
      <c r="AC319" s="2" t="n">
        <v>8109999.999999999</v>
      </c>
      <c r="AD319" s="2" t="n">
        <v>954900</v>
      </c>
      <c r="AE319" s="2" t="n">
        <v>50950</v>
      </c>
      <c r="AF319" s="2" t="n">
        <v>743680</v>
      </c>
    </row>
    <row r="320" ht="16" customHeight="1">
      <c r="A320" s="2" t="inlineStr">
        <is>
          <t>06/15/2025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>
        <v>28980000</v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Z320" s="2" t="n"/>
      <c r="AA320" s="2" t="n"/>
      <c r="AB320" s="2" t="n"/>
      <c r="AC320" s="2" t="n"/>
      <c r="AD320" s="2" t="n"/>
      <c r="AE320" s="2" t="n">
        <v>26220</v>
      </c>
      <c r="AF320" s="2" t="n">
        <v>336180</v>
      </c>
    </row>
    <row r="321" ht="16" customHeight="1">
      <c r="A321" s="2" t="inlineStr">
        <is>
          <t>06/14/2025</t>
        </is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>
        <v>26550000</v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Z321" s="2" t="n"/>
      <c r="AA321" s="2" t="n"/>
      <c r="AB321" s="2" t="n"/>
      <c r="AC321" s="2" t="n"/>
      <c r="AD321" s="2" t="n"/>
      <c r="AE321" s="2" t="n">
        <v>30990</v>
      </c>
      <c r="AF321" s="2" t="n">
        <v>367980</v>
      </c>
    </row>
    <row r="322" ht="16" customHeight="1">
      <c r="A322" s="2" t="inlineStr">
        <is>
          <t>06/13/2025</t>
        </is>
      </c>
      <c r="B322" s="2" t="n">
        <v>419590</v>
      </c>
      <c r="C322" s="2" t="n">
        <v>222350</v>
      </c>
      <c r="D322" s="2" t="n">
        <v>13160</v>
      </c>
      <c r="E322" s="2" t="n">
        <v>7880000</v>
      </c>
      <c r="F322" s="2" t="n">
        <v>214230</v>
      </c>
      <c r="G322" s="2" t="n"/>
      <c r="H322" s="2" t="n">
        <v>358370</v>
      </c>
      <c r="I322" s="2" t="n">
        <v>230600</v>
      </c>
      <c r="J322" s="2" t="n">
        <v>130110000</v>
      </c>
      <c r="K322" s="2" t="n">
        <v>2460000</v>
      </c>
      <c r="L322" s="2" t="n"/>
      <c r="M322" s="2" t="n">
        <v>437330</v>
      </c>
      <c r="N322" s="2" t="n"/>
      <c r="O322" s="2" t="n">
        <v>1950000</v>
      </c>
      <c r="P322" s="2" t="n">
        <v>1220000</v>
      </c>
      <c r="Q322" s="2" t="n">
        <v>15830</v>
      </c>
      <c r="R322" s="2" t="n">
        <v>1650000</v>
      </c>
      <c r="S322" s="2" t="n">
        <v>408790</v>
      </c>
      <c r="T322" s="2" t="n">
        <v>198000</v>
      </c>
      <c r="U322" s="2" t="n">
        <v>2290000</v>
      </c>
      <c r="V322" s="2" t="n">
        <v>1150000</v>
      </c>
      <c r="W322" s="2" t="n">
        <v>164730</v>
      </c>
      <c r="X322" s="2" t="n">
        <v>245960</v>
      </c>
      <c r="Z322" s="2" t="n">
        <v>4210000</v>
      </c>
      <c r="AA322" s="2" t="n">
        <v>21330000</v>
      </c>
      <c r="AB322" s="2" t="n">
        <v>16010000</v>
      </c>
      <c r="AC322" s="2" t="n">
        <v>9380000</v>
      </c>
      <c r="AD322" s="2" t="n">
        <v>689000</v>
      </c>
      <c r="AE322" s="2" t="n">
        <v>73840</v>
      </c>
      <c r="AF322" s="2" t="n">
        <v>1310000</v>
      </c>
    </row>
    <row r="323" ht="16" customHeight="1">
      <c r="A323" s="2" t="inlineStr">
        <is>
          <t>06/12/2025</t>
        </is>
      </c>
      <c r="B323" s="2" t="n">
        <v>370280</v>
      </c>
      <c r="C323" s="2" t="n">
        <v>164130</v>
      </c>
      <c r="D323" s="2" t="n">
        <v>11290</v>
      </c>
      <c r="E323" s="2" t="n">
        <v>9570000</v>
      </c>
      <c r="F323" s="2" t="n">
        <v>301950</v>
      </c>
      <c r="G323" s="2" t="n"/>
      <c r="H323" s="2" t="n">
        <v>386390</v>
      </c>
      <c r="I323" s="2" t="n">
        <v>345330</v>
      </c>
      <c r="J323" s="2" t="n">
        <v>77880000</v>
      </c>
      <c r="K323" s="2" t="n">
        <v>928640</v>
      </c>
      <c r="L323" s="2" t="n"/>
      <c r="M323" s="2" t="n">
        <v>361880</v>
      </c>
      <c r="N323" s="2" t="n"/>
      <c r="O323" s="2" t="n">
        <v>1890000</v>
      </c>
      <c r="P323" s="2" t="n">
        <v>1110000</v>
      </c>
      <c r="Q323" s="2" t="n">
        <v>44880</v>
      </c>
      <c r="R323" s="2" t="n">
        <v>918050</v>
      </c>
      <c r="S323" s="2" t="n">
        <v>504130</v>
      </c>
      <c r="T323" s="2" t="n">
        <v>71690</v>
      </c>
      <c r="U323" s="2" t="n">
        <v>8820000</v>
      </c>
      <c r="V323" s="2" t="n">
        <v>1910000</v>
      </c>
      <c r="W323" s="2" t="n">
        <v>178490</v>
      </c>
      <c r="X323" s="2" t="n">
        <v>161620</v>
      </c>
      <c r="Z323" s="2" t="n">
        <v>2680000</v>
      </c>
      <c r="AA323" s="2" t="n">
        <v>10550000</v>
      </c>
      <c r="AB323" s="2" t="n">
        <v>6120000</v>
      </c>
      <c r="AC323" s="2" t="n">
        <v>9420000</v>
      </c>
      <c r="AD323" s="2" t="n">
        <v>607500</v>
      </c>
      <c r="AE323" s="2" t="n">
        <v>59870</v>
      </c>
      <c r="AF323" s="2" t="n">
        <v>776740</v>
      </c>
    </row>
    <row r="324" ht="16" customHeight="1">
      <c r="A324" s="2" t="inlineStr">
        <is>
          <t>06/11/2025</t>
        </is>
      </c>
      <c r="B324" s="2" t="n">
        <v>38910</v>
      </c>
      <c r="C324" s="2" t="n">
        <v>211720</v>
      </c>
      <c r="D324" s="2" t="n">
        <v>12200</v>
      </c>
      <c r="E324" s="2" t="n">
        <v>10140000</v>
      </c>
      <c r="F324" s="2" t="n">
        <v>232210</v>
      </c>
      <c r="G324" s="2" t="n"/>
      <c r="H324" s="2" t="n">
        <v>1310000</v>
      </c>
      <c r="I324" s="2" t="n">
        <v>576300</v>
      </c>
      <c r="J324" s="2" t="n">
        <v>60910000</v>
      </c>
      <c r="K324" s="2" t="n">
        <v>732380</v>
      </c>
      <c r="L324" s="2" t="n"/>
      <c r="M324" s="2" t="n">
        <v>247780</v>
      </c>
      <c r="N324" s="2" t="n"/>
      <c r="O324" s="2" t="n">
        <v>1990000</v>
      </c>
      <c r="P324" s="2" t="n">
        <v>1130000</v>
      </c>
      <c r="Q324" s="2" t="n">
        <v>36200</v>
      </c>
      <c r="R324" s="2" t="n">
        <v>1240000</v>
      </c>
      <c r="S324" s="2" t="n">
        <v>667220</v>
      </c>
      <c r="T324" s="2" t="n">
        <v>151740</v>
      </c>
      <c r="U324" s="2" t="n">
        <v>5450000</v>
      </c>
      <c r="V324" s="2" t="n">
        <v>1040000</v>
      </c>
      <c r="W324" s="2" t="n">
        <v>189820</v>
      </c>
      <c r="X324" s="2" t="n">
        <v>514450.0000000001</v>
      </c>
      <c r="Z324" s="2" t="n">
        <v>3210000</v>
      </c>
      <c r="AA324" s="2" t="n">
        <v>13810000</v>
      </c>
      <c r="AB324" s="2" t="n">
        <v>17070000</v>
      </c>
      <c r="AC324" s="2" t="n">
        <v>6810000</v>
      </c>
      <c r="AD324" s="2" t="n">
        <v>523039.9999999999</v>
      </c>
      <c r="AE324" s="2" t="n">
        <v>44800</v>
      </c>
      <c r="AF324" s="2" t="n">
        <v>932960</v>
      </c>
    </row>
    <row r="325" ht="16" customHeight="1">
      <c r="A325" s="2" t="inlineStr">
        <is>
          <t>06/10/2025</t>
        </is>
      </c>
      <c r="B325" s="2" t="n">
        <v>337100</v>
      </c>
      <c r="C325" s="2" t="n">
        <v>196570</v>
      </c>
      <c r="D325" s="2" t="n">
        <v>10390</v>
      </c>
      <c r="E325" s="2" t="n">
        <v>9200000</v>
      </c>
      <c r="F325" s="2" t="n">
        <v>248520</v>
      </c>
      <c r="G325" s="2" t="n"/>
      <c r="H325" s="2" t="n">
        <v>424440</v>
      </c>
      <c r="I325" s="2" t="n">
        <v>266150</v>
      </c>
      <c r="J325" s="2" t="n">
        <v>91070000</v>
      </c>
      <c r="K325" s="2" t="n">
        <v>625010</v>
      </c>
      <c r="L325" s="2" t="n"/>
      <c r="M325" s="2" t="n">
        <v>3010000</v>
      </c>
      <c r="N325" s="2" t="n"/>
      <c r="O325" s="2" t="n">
        <v>1290000</v>
      </c>
      <c r="P325" s="2" t="n">
        <v>1750000</v>
      </c>
      <c r="Q325" s="2" t="n">
        <v>54940</v>
      </c>
      <c r="R325" s="2" t="n">
        <v>443710</v>
      </c>
      <c r="S325" s="2" t="n">
        <v>374610</v>
      </c>
      <c r="T325" s="2" t="n">
        <v>48110</v>
      </c>
      <c r="U325" s="2" t="n">
        <v>6580000</v>
      </c>
      <c r="V325" s="2" t="n">
        <v>1880000</v>
      </c>
      <c r="W325" s="2" t="n">
        <v>190270</v>
      </c>
      <c r="X325" s="2" t="n">
        <v>1500000</v>
      </c>
      <c r="Z325" s="2" t="n">
        <v>2360000</v>
      </c>
      <c r="AA325" s="2" t="n">
        <v>12690000</v>
      </c>
      <c r="AB325" s="2" t="n">
        <v>7750000</v>
      </c>
      <c r="AC325" s="2" t="n">
        <v>7070000</v>
      </c>
      <c r="AD325" s="2" t="n">
        <v>623290</v>
      </c>
      <c r="AE325" s="2" t="n">
        <v>58280</v>
      </c>
      <c r="AF325" s="2" t="n">
        <v>1250000</v>
      </c>
    </row>
    <row r="326" ht="16" customHeight="1">
      <c r="A326" s="2" t="inlineStr">
        <is>
          <t>06/09/2025</t>
        </is>
      </c>
      <c r="B326" s="2" t="n">
        <v>388230</v>
      </c>
      <c r="C326" s="2" t="n">
        <v>212290</v>
      </c>
      <c r="D326" s="2" t="n">
        <v>25610</v>
      </c>
      <c r="E326" s="2" t="n">
        <v>9900000</v>
      </c>
      <c r="F326" s="2" t="n">
        <v>519620</v>
      </c>
      <c r="G326" s="2" t="n"/>
      <c r="H326" s="2" t="n">
        <v>505940</v>
      </c>
      <c r="I326" s="2" t="n">
        <v>389330</v>
      </c>
      <c r="J326" s="2" t="n">
        <v>78460000</v>
      </c>
      <c r="K326" s="2" t="n">
        <v>932100</v>
      </c>
      <c r="L326" s="2" t="n"/>
      <c r="M326" s="2" t="n">
        <v>315110</v>
      </c>
      <c r="N326" s="2" t="n"/>
      <c r="O326" s="2" t="n">
        <v>1700000</v>
      </c>
      <c r="P326" s="2" t="n">
        <v>1300000</v>
      </c>
      <c r="Q326" s="2" t="n">
        <v>87950</v>
      </c>
      <c r="R326" s="2" t="n">
        <v>430360</v>
      </c>
      <c r="S326" s="2" t="n">
        <v>527710</v>
      </c>
      <c r="T326" s="2" t="n">
        <v>256460</v>
      </c>
      <c r="U326" s="2" t="n">
        <v>4090000</v>
      </c>
      <c r="V326" s="2" t="n">
        <v>1140000</v>
      </c>
      <c r="W326" s="2" t="n">
        <v>197750</v>
      </c>
      <c r="X326" s="2" t="n">
        <v>319520</v>
      </c>
      <c r="Z326" s="2" t="n">
        <v>1900000</v>
      </c>
      <c r="AA326" s="2" t="n">
        <v>13740000</v>
      </c>
      <c r="AB326" s="2" t="n">
        <v>5330000</v>
      </c>
      <c r="AC326" s="2" t="n">
        <v>10920000</v>
      </c>
      <c r="AD326" s="2" t="n">
        <v>961290</v>
      </c>
      <c r="AE326" s="2" t="n">
        <v>64280</v>
      </c>
      <c r="AF326" s="2" t="n">
        <v>617770</v>
      </c>
    </row>
    <row r="327" ht="16" customHeight="1">
      <c r="A327" s="2" t="inlineStr">
        <is>
          <t>06/08/2025</t>
        </is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>
        <v>25250000</v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Z327" s="2" t="n"/>
      <c r="AA327" s="2" t="n"/>
      <c r="AB327" s="2" t="n"/>
      <c r="AC327" s="2" t="n"/>
      <c r="AD327" s="2" t="n"/>
      <c r="AE327" s="2" t="n">
        <v>29110</v>
      </c>
      <c r="AF327" s="2" t="n">
        <v>290340</v>
      </c>
    </row>
    <row r="328" ht="16" customHeight="1">
      <c r="A328" s="2" t="inlineStr">
        <is>
          <t>06/07/2025</t>
        </is>
      </c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>
        <v>23040000</v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Z328" s="2" t="n"/>
      <c r="AA328" s="2" t="n"/>
      <c r="AB328" s="2" t="n"/>
      <c r="AC328" s="2" t="n"/>
      <c r="AD328" s="2" t="n"/>
      <c r="AE328" s="2" t="n">
        <v>32390</v>
      </c>
      <c r="AF328" s="2" t="n">
        <v>286600</v>
      </c>
    </row>
    <row r="329" ht="16" customHeight="1">
      <c r="A329" s="2" t="inlineStr">
        <is>
          <t>06/06/2025</t>
        </is>
      </c>
      <c r="B329" s="2" t="n"/>
      <c r="C329" s="2" t="n"/>
      <c r="D329" s="2" t="n"/>
      <c r="E329" s="2" t="n">
        <v>9120000</v>
      </c>
      <c r="F329" s="2" t="n">
        <v>583220</v>
      </c>
      <c r="G329" s="2" t="n"/>
      <c r="H329" s="2" t="n"/>
      <c r="I329" s="2" t="n">
        <v>466690</v>
      </c>
      <c r="J329" s="2" t="n">
        <v>52310000</v>
      </c>
      <c r="K329" s="2" t="n"/>
      <c r="L329" s="2" t="n"/>
      <c r="M329" s="2" t="n"/>
      <c r="N329" s="2" t="n"/>
      <c r="O329" s="2" t="n">
        <v>1730000</v>
      </c>
      <c r="P329" s="2" t="n">
        <v>2310000</v>
      </c>
      <c r="Q329" s="2" t="n"/>
      <c r="R329" s="2" t="n"/>
      <c r="S329" s="2" t="n"/>
      <c r="T329" s="2" t="n"/>
      <c r="U329" s="2" t="n"/>
      <c r="V329" s="2" t="n"/>
      <c r="W329" s="2" t="n"/>
      <c r="X329" s="2" t="n"/>
      <c r="Z329" s="2" t="n">
        <v>2290000</v>
      </c>
      <c r="AA329" s="2" t="n">
        <v>10660000</v>
      </c>
      <c r="AB329" s="2" t="n">
        <v>4820000</v>
      </c>
      <c r="AC329" s="2" t="n">
        <v>9380000</v>
      </c>
      <c r="AD329" s="2" t="n">
        <v>707250</v>
      </c>
      <c r="AE329" s="2" t="n">
        <v>61970</v>
      </c>
      <c r="AF329" s="2" t="n">
        <v>625000</v>
      </c>
    </row>
    <row r="330" ht="16" customHeight="1">
      <c r="A330" s="2" t="inlineStr">
        <is>
          <t>06/05/2025</t>
        </is>
      </c>
      <c r="B330" s="2" t="n">
        <v>350550</v>
      </c>
      <c r="C330" s="2" t="n">
        <v>166330</v>
      </c>
      <c r="D330" s="2" t="n">
        <v>15260</v>
      </c>
      <c r="E330" s="2" t="n">
        <v>10150000</v>
      </c>
      <c r="F330" s="2" t="n">
        <v>508890</v>
      </c>
      <c r="G330" s="2" t="n"/>
      <c r="H330" s="2" t="n"/>
      <c r="I330" s="2" t="n">
        <v>848330</v>
      </c>
      <c r="J330" s="2" t="n">
        <v>110240000</v>
      </c>
      <c r="K330" s="2" t="n">
        <v>671390</v>
      </c>
      <c r="L330" s="2" t="n"/>
      <c r="M330" s="2" t="n">
        <v>2970000</v>
      </c>
      <c r="N330" s="2" t="n"/>
      <c r="O330" s="2" t="n">
        <v>1880000</v>
      </c>
      <c r="P330" s="2" t="n">
        <v>1020000</v>
      </c>
      <c r="Q330" s="2" t="n">
        <v>23630</v>
      </c>
      <c r="R330" s="2" t="n">
        <v>402200</v>
      </c>
      <c r="S330" s="2" t="n">
        <v>353330</v>
      </c>
      <c r="T330" s="2" t="n">
        <v>310460</v>
      </c>
      <c r="U330" s="2" t="n">
        <v>4230000</v>
      </c>
      <c r="V330" s="2" t="n">
        <v>1420000</v>
      </c>
      <c r="W330" s="2" t="n">
        <v>176080</v>
      </c>
      <c r="X330" s="2" t="n">
        <v>123050</v>
      </c>
      <c r="Z330" s="2" t="n">
        <v>3760000</v>
      </c>
      <c r="AA330" s="2" t="n">
        <v>18940000</v>
      </c>
      <c r="AB330" s="2" t="n">
        <v>18310000</v>
      </c>
      <c r="AC330" s="2" t="n">
        <v>11960000</v>
      </c>
      <c r="AD330" s="2" t="n">
        <v>878200</v>
      </c>
      <c r="AE330" s="2" t="n">
        <v>73530</v>
      </c>
      <c r="AF330" s="2" t="n">
        <v>900970</v>
      </c>
    </row>
    <row r="331" ht="16" customHeight="1">
      <c r="A331" s="2" t="inlineStr">
        <is>
          <t>06/04/2025</t>
        </is>
      </c>
      <c r="B331" s="2" t="n">
        <v>397190</v>
      </c>
      <c r="C331" s="2" t="n">
        <v>182960</v>
      </c>
      <c r="D331" s="2" t="n">
        <v>17510</v>
      </c>
      <c r="E331" s="2" t="n">
        <v>8920000</v>
      </c>
      <c r="F331" s="2" t="n">
        <v>357350</v>
      </c>
      <c r="G331" s="2" t="n"/>
      <c r="H331" s="2" t="n"/>
      <c r="I331" s="2" t="n">
        <v>328940</v>
      </c>
      <c r="J331" s="2" t="n">
        <v>78170000</v>
      </c>
      <c r="K331" s="2" t="n">
        <v>866930</v>
      </c>
      <c r="L331" s="2" t="n"/>
      <c r="M331" s="2" t="n">
        <v>273060</v>
      </c>
      <c r="N331" s="2" t="n"/>
      <c r="O331" s="2" t="n">
        <v>2630000</v>
      </c>
      <c r="P331" s="2" t="n">
        <v>1440000</v>
      </c>
      <c r="Q331" s="2" t="n">
        <v>43760</v>
      </c>
      <c r="R331" s="2" t="n">
        <v>240060</v>
      </c>
      <c r="S331" s="2" t="n">
        <v>534670</v>
      </c>
      <c r="T331" s="2" t="n">
        <v>64650.00000000001</v>
      </c>
      <c r="U331" s="2" t="n">
        <v>2270000</v>
      </c>
      <c r="V331" s="2" t="n">
        <v>899910</v>
      </c>
      <c r="W331" s="2" t="n">
        <v>127300</v>
      </c>
      <c r="X331" s="2" t="n">
        <v>132830</v>
      </c>
      <c r="Z331" s="2" t="n">
        <v>2360000</v>
      </c>
      <c r="AA331" s="2" t="n">
        <v>11730000</v>
      </c>
      <c r="AB331" s="2" t="n">
        <v>5470000</v>
      </c>
      <c r="AC331" s="2" t="n">
        <v>8470000</v>
      </c>
      <c r="AD331" s="2" t="n">
        <v>525410</v>
      </c>
      <c r="AE331" s="2" t="n">
        <v>50060</v>
      </c>
      <c r="AF331" s="2" t="n">
        <v>578930</v>
      </c>
    </row>
    <row r="332" ht="16" customHeight="1">
      <c r="A332" s="2" t="inlineStr">
        <is>
          <t>06/03/2025</t>
        </is>
      </c>
      <c r="B332" s="2" t="n"/>
      <c r="C332" s="2" t="n"/>
      <c r="D332" s="2" t="n"/>
      <c r="E332" s="2" t="n">
        <v>11980000</v>
      </c>
      <c r="F332" s="2" t="n">
        <v>469450</v>
      </c>
      <c r="G332" s="2" t="n"/>
      <c r="H332" s="2" t="n"/>
      <c r="I332" s="2" t="n">
        <v>449460</v>
      </c>
      <c r="J332" s="2" t="n">
        <v>49200000</v>
      </c>
      <c r="K332" s="2" t="n"/>
      <c r="L332" s="2" t="n"/>
      <c r="M332" s="2" t="n"/>
      <c r="N332" s="2" t="n"/>
      <c r="O332" s="2" t="n">
        <v>1920000</v>
      </c>
      <c r="P332" s="2" t="n">
        <v>1590000</v>
      </c>
      <c r="Q332" s="2" t="n"/>
      <c r="R332" s="2" t="n"/>
      <c r="S332" s="2" t="n"/>
      <c r="T332" s="2" t="n"/>
      <c r="U332" s="2" t="n"/>
      <c r="V332" s="2" t="n"/>
      <c r="W332" s="2" t="n"/>
      <c r="X332" s="2" t="n"/>
      <c r="Z332" s="2" t="n">
        <v>2410000</v>
      </c>
      <c r="AA332" s="2" t="n">
        <v>12720000</v>
      </c>
      <c r="AB332" s="2" t="n">
        <v>13010000</v>
      </c>
      <c r="AC332" s="2" t="n">
        <v>11350000</v>
      </c>
      <c r="AD332" s="2" t="n">
        <v>647640</v>
      </c>
      <c r="AE332" s="2" t="n">
        <v>49470</v>
      </c>
      <c r="AF332" s="2" t="n">
        <v>524350</v>
      </c>
    </row>
    <row r="333" ht="16" customHeight="1">
      <c r="A333" s="2" t="inlineStr">
        <is>
          <t>06/02/2025</t>
        </is>
      </c>
      <c r="B333" s="2" t="n">
        <v>366660</v>
      </c>
      <c r="C333" s="2" t="n">
        <v>155940</v>
      </c>
      <c r="D333" s="2" t="n">
        <v>10460</v>
      </c>
      <c r="E333" s="2" t="n">
        <v>21930000</v>
      </c>
      <c r="F333" s="2" t="n">
        <v>403400</v>
      </c>
      <c r="G333" s="2" t="n"/>
      <c r="H333" s="2" t="n"/>
      <c r="I333" s="2" t="n">
        <v>368360</v>
      </c>
      <c r="J333" s="2" t="n">
        <v>60900000</v>
      </c>
      <c r="K333" s="2" t="n">
        <v>666520</v>
      </c>
      <c r="L333" s="2" t="n"/>
      <c r="M333" s="2" t="n">
        <v>199170</v>
      </c>
      <c r="N333" s="2" t="n"/>
      <c r="O333" s="2" t="n">
        <v>3010000</v>
      </c>
      <c r="P333" s="2" t="n">
        <v>1740000</v>
      </c>
      <c r="Q333" s="2" t="n">
        <v>22010</v>
      </c>
      <c r="R333" s="2" t="n">
        <v>165100</v>
      </c>
      <c r="S333" s="2" t="n">
        <v>437040</v>
      </c>
      <c r="T333" s="2" t="n">
        <v>110560</v>
      </c>
      <c r="U333" s="2" t="n">
        <v>2720000</v>
      </c>
      <c r="V333" s="2" t="n">
        <v>1140000</v>
      </c>
      <c r="W333" s="2" t="n">
        <v>198290</v>
      </c>
      <c r="X333" s="2" t="n">
        <v>103930</v>
      </c>
      <c r="Z333" s="2" t="n">
        <v>3040000</v>
      </c>
      <c r="AA333" s="2" t="n">
        <v>20610000</v>
      </c>
      <c r="AB333" s="2" t="n">
        <v>8140000.000000001</v>
      </c>
      <c r="AC333" s="2" t="n">
        <v>8100000</v>
      </c>
      <c r="AD333" s="2" t="n">
        <v>1320000</v>
      </c>
      <c r="AE333" s="2" t="n">
        <v>46440</v>
      </c>
      <c r="AF333" s="2" t="n">
        <v>513950.0000000001</v>
      </c>
    </row>
    <row r="334" ht="16" customHeight="1">
      <c r="A334" s="2" t="inlineStr">
        <is>
          <t>06/01/2025</t>
        </is>
      </c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>
        <v>33980000</v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Z334" s="2" t="n"/>
      <c r="AA334" s="2" t="n"/>
      <c r="AB334" s="2" t="n"/>
      <c r="AC334" s="2" t="n"/>
      <c r="AD334" s="2" t="n"/>
      <c r="AE334" s="2" t="n">
        <v>33030</v>
      </c>
      <c r="AF334" s="2" t="n">
        <v>363690</v>
      </c>
    </row>
    <row r="335" ht="16" customHeight="1">
      <c r="A335" s="2" t="inlineStr">
        <is>
          <t>05/31/2025</t>
        </is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>
        <v>82240000</v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Z335" s="2" t="n"/>
      <c r="AA335" s="2" t="n"/>
      <c r="AB335" s="2" t="n"/>
      <c r="AC335" s="2" t="n"/>
      <c r="AD335" s="2" t="n"/>
      <c r="AE335" s="2" t="n">
        <v>35800</v>
      </c>
      <c r="AF335" s="2" t="n">
        <v>427560</v>
      </c>
    </row>
    <row r="336" ht="16" customHeight="1">
      <c r="A336" s="2" t="inlineStr">
        <is>
          <t>05/30/2025</t>
        </is>
      </c>
      <c r="B336" s="2" t="n">
        <v>34550</v>
      </c>
      <c r="C336" s="2" t="n">
        <v>264920</v>
      </c>
      <c r="D336" s="2" t="n">
        <v>9510</v>
      </c>
      <c r="E336" s="2" t="n">
        <v>14210000</v>
      </c>
      <c r="F336" s="2" t="n">
        <v>653090</v>
      </c>
      <c r="G336" s="2" t="n"/>
      <c r="H336" s="2" t="n"/>
      <c r="I336" s="2" t="n">
        <v>503040</v>
      </c>
      <c r="J336" s="2" t="n">
        <v>140590000</v>
      </c>
      <c r="K336" s="2" t="n">
        <v>636980</v>
      </c>
      <c r="L336" s="2" t="n"/>
      <c r="M336" s="2" t="n">
        <v>131080</v>
      </c>
      <c r="N336" s="2" t="n"/>
      <c r="O336" s="2" t="n">
        <v>3090000</v>
      </c>
      <c r="P336" s="2" t="n">
        <v>1260000</v>
      </c>
      <c r="Q336" s="2" t="n">
        <v>10210</v>
      </c>
      <c r="R336" s="2" t="n">
        <v>163610</v>
      </c>
      <c r="S336" s="2" t="n">
        <v>383430</v>
      </c>
      <c r="T336" s="2" t="n">
        <v>44470</v>
      </c>
      <c r="U336" s="2" t="n">
        <v>2370000</v>
      </c>
      <c r="V336" s="2" t="n">
        <v>1400000</v>
      </c>
      <c r="W336" s="2" t="n">
        <v>147130</v>
      </c>
      <c r="X336" s="2" t="n">
        <v>104450</v>
      </c>
      <c r="Z336" s="2" t="n">
        <v>2460000</v>
      </c>
      <c r="AA336" s="2" t="n">
        <v>14780000</v>
      </c>
      <c r="AB336" s="2" t="n">
        <v>12480000</v>
      </c>
      <c r="AC336" s="2" t="n">
        <v>12560000</v>
      </c>
      <c r="AD336" s="2" t="n">
        <v>763030</v>
      </c>
      <c r="AE336" s="2" t="n">
        <v>71980</v>
      </c>
      <c r="AF336" s="2" t="n">
        <v>843030</v>
      </c>
    </row>
    <row r="337" ht="16" customHeight="1">
      <c r="A337" s="2" t="inlineStr">
        <is>
          <t>05/29/2025</t>
        </is>
      </c>
      <c r="B337" s="2" t="n">
        <v>375850</v>
      </c>
      <c r="C337" s="2" t="n">
        <v>223780</v>
      </c>
      <c r="D337" s="2" t="n">
        <v>19870</v>
      </c>
      <c r="E337" s="2" t="n">
        <v>10440000</v>
      </c>
      <c r="F337" s="2" t="n">
        <v>191670</v>
      </c>
      <c r="G337" s="2" t="n"/>
      <c r="H337" s="2" t="n"/>
      <c r="I337" s="2" t="n">
        <v>217350</v>
      </c>
      <c r="J337" s="2" t="n">
        <v>79740000</v>
      </c>
      <c r="K337" s="2" t="n">
        <v>792340</v>
      </c>
      <c r="L337" s="2" t="n"/>
      <c r="M337" s="2" t="n">
        <v>243080</v>
      </c>
      <c r="N337" s="2" t="n"/>
      <c r="O337" s="2" t="n">
        <v>2350000</v>
      </c>
      <c r="P337" s="2" t="n">
        <v>1550000</v>
      </c>
      <c r="Q337" s="2" t="n">
        <v>15650</v>
      </c>
      <c r="R337" s="2" t="n">
        <v>161200</v>
      </c>
      <c r="S337" s="2" t="n">
        <v>418170</v>
      </c>
      <c r="T337" s="2" t="n">
        <v>102400</v>
      </c>
      <c r="U337" s="2" t="n">
        <v>1610000</v>
      </c>
      <c r="V337" s="2" t="n">
        <v>1230000</v>
      </c>
      <c r="W337" s="2" t="n">
        <v>125610</v>
      </c>
      <c r="X337" s="2" t="n">
        <v>75140</v>
      </c>
      <c r="Z337" s="2" t="n">
        <v>3070000</v>
      </c>
      <c r="AA337" s="2" t="n">
        <v>13900000</v>
      </c>
      <c r="AB337" s="2" t="n">
        <v>5460000</v>
      </c>
      <c r="AC337" s="2" t="n">
        <v>10220000</v>
      </c>
      <c r="AD337" s="2" t="n">
        <v>746240</v>
      </c>
      <c r="AE337" s="2" t="n">
        <v>70020</v>
      </c>
      <c r="AF337" s="2" t="n">
        <v>906210</v>
      </c>
    </row>
    <row r="338" ht="16" customHeight="1">
      <c r="A338" s="2" t="inlineStr">
        <is>
          <t>05/28/2025</t>
        </is>
      </c>
      <c r="B338" s="2" t="n">
        <v>354060</v>
      </c>
      <c r="C338" s="2" t="n">
        <v>206280</v>
      </c>
      <c r="D338" s="2" t="n">
        <v>9090</v>
      </c>
      <c r="E338" s="2" t="n">
        <v>8420000</v>
      </c>
      <c r="F338" s="2" t="n">
        <v>230030</v>
      </c>
      <c r="G338" s="2" t="n"/>
      <c r="H338" s="2" t="n"/>
      <c r="I338" s="2" t="n">
        <v>278980</v>
      </c>
      <c r="J338" s="2" t="n">
        <v>87640000</v>
      </c>
      <c r="K338" s="2" t="n">
        <v>1010000</v>
      </c>
      <c r="L338" s="2" t="n"/>
      <c r="M338" s="2" t="n">
        <v>199490</v>
      </c>
      <c r="N338" s="2" t="n"/>
      <c r="O338" s="2" t="n">
        <v>2970000</v>
      </c>
      <c r="P338" s="2" t="n">
        <v>984120</v>
      </c>
      <c r="Q338" s="2" t="n">
        <v>6560</v>
      </c>
      <c r="R338" s="2" t="n">
        <v>217510</v>
      </c>
      <c r="S338" s="2" t="n">
        <v>230590</v>
      </c>
      <c r="T338" s="2" t="n">
        <v>183800</v>
      </c>
      <c r="U338" s="2" t="n">
        <v>1680000</v>
      </c>
      <c r="V338" s="2" t="n">
        <v>805500</v>
      </c>
      <c r="W338" s="2" t="n">
        <v>126320</v>
      </c>
      <c r="X338" s="2" t="n">
        <v>157440</v>
      </c>
      <c r="Z338" s="2" t="n">
        <v>2880000</v>
      </c>
      <c r="AA338" s="2" t="n">
        <v>13190000</v>
      </c>
      <c r="AB338" s="2" t="n">
        <v>8020000</v>
      </c>
      <c r="AC338" s="2" t="n">
        <v>9940000</v>
      </c>
      <c r="AD338" s="2" t="n">
        <v>710200</v>
      </c>
      <c r="AE338" s="2" t="n">
        <v>51840</v>
      </c>
      <c r="AF338" s="2" t="n">
        <v>632980</v>
      </c>
    </row>
    <row r="339" ht="16" customHeight="1">
      <c r="A339" s="2" t="inlineStr">
        <is>
          <t>05/27/2025</t>
        </is>
      </c>
      <c r="B339" s="2" t="n">
        <v>334640</v>
      </c>
      <c r="C339" s="2" t="n">
        <v>268920</v>
      </c>
      <c r="D339" s="2" t="n">
        <v>7720</v>
      </c>
      <c r="E339" s="2" t="n">
        <v>10530000</v>
      </c>
      <c r="F339" s="2" t="n">
        <v>369790</v>
      </c>
      <c r="G339" s="2" t="n"/>
      <c r="H339" s="2" t="n"/>
      <c r="I339" s="2" t="n">
        <v>348290</v>
      </c>
      <c r="J339" s="2" t="n">
        <v>71810000</v>
      </c>
      <c r="K339" s="2" t="n">
        <v>470010</v>
      </c>
      <c r="L339" s="2" t="n"/>
      <c r="M339" s="2" t="n">
        <v>162120</v>
      </c>
      <c r="N339" s="2" t="n"/>
      <c r="O339" s="2" t="n">
        <v>3460000</v>
      </c>
      <c r="P339" s="2" t="n">
        <v>1110000</v>
      </c>
      <c r="Q339" s="2" t="n">
        <v>9690</v>
      </c>
      <c r="R339" s="2" t="n">
        <v>172650</v>
      </c>
      <c r="S339" s="2" t="n">
        <v>207230</v>
      </c>
      <c r="T339" s="2" t="n">
        <v>10690</v>
      </c>
      <c r="U339" s="2" t="n">
        <v>954680</v>
      </c>
      <c r="V339" s="2" t="n">
        <v>512440.0000000001</v>
      </c>
      <c r="W339" s="2" t="n">
        <v>163030</v>
      </c>
      <c r="X339" s="2" t="n">
        <v>82460</v>
      </c>
      <c r="Z339" s="2" t="n">
        <v>4160000</v>
      </c>
      <c r="AA339" s="2" t="n">
        <v>15920000</v>
      </c>
      <c r="AB339" s="2" t="n">
        <v>5330000</v>
      </c>
      <c r="AC339" s="2" t="n">
        <v>14120000</v>
      </c>
      <c r="AD339" s="2" t="n">
        <v>1470000</v>
      </c>
      <c r="AE339" s="2" t="n">
        <v>65019.99999999999</v>
      </c>
      <c r="AF339" s="2" t="n">
        <v>891740</v>
      </c>
    </row>
    <row r="340" ht="16" customHeight="1">
      <c r="A340" s="2" t="inlineStr">
        <is>
          <t>05/26/2025</t>
        </is>
      </c>
      <c r="B340" s="2" t="n">
        <v>322600</v>
      </c>
      <c r="C340" s="2" t="n">
        <v>198680</v>
      </c>
      <c r="D340" s="2" t="n">
        <v>8510</v>
      </c>
      <c r="E340" s="2" t="n"/>
      <c r="F340" s="2" t="n"/>
      <c r="G340" s="2" t="n"/>
      <c r="H340" s="2" t="n"/>
      <c r="I340" s="2" t="n"/>
      <c r="J340" s="2" t="n">
        <v>55350000</v>
      </c>
      <c r="K340" s="2" t="n">
        <v>669660</v>
      </c>
      <c r="L340" s="2" t="n"/>
      <c r="M340" s="2" t="n">
        <v>413500</v>
      </c>
      <c r="N340" s="2" t="n"/>
      <c r="O340" s="2" t="n"/>
      <c r="P340" s="2" t="n"/>
      <c r="Q340" s="2" t="n">
        <v>17610</v>
      </c>
      <c r="R340" s="2" t="n">
        <v>167060</v>
      </c>
      <c r="S340" s="2" t="n">
        <v>478580</v>
      </c>
      <c r="T340" s="2" t="n">
        <v>9940</v>
      </c>
      <c r="U340" s="2" t="n">
        <v>2290000</v>
      </c>
      <c r="V340" s="2" t="n">
        <v>929550</v>
      </c>
      <c r="W340" s="2" t="n">
        <v>182100</v>
      </c>
      <c r="X340" s="2" t="n">
        <v>174670</v>
      </c>
      <c r="Z340" s="2" t="n"/>
      <c r="AA340" s="2" t="n"/>
      <c r="AB340" s="2" t="n"/>
      <c r="AC340" s="2" t="n"/>
      <c r="AD340" s="2" t="n"/>
      <c r="AE340" s="2" t="n">
        <v>48010</v>
      </c>
      <c r="AF340" s="2" t="n">
        <v>406920</v>
      </c>
    </row>
    <row r="341" ht="16" customHeight="1">
      <c r="A341" s="2" t="inlineStr">
        <is>
          <t>05/25/2025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>
        <v>51810000</v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Z341" s="2" t="n"/>
      <c r="AA341" s="2" t="n"/>
      <c r="AB341" s="2" t="n"/>
      <c r="AC341" s="2" t="n"/>
      <c r="AD341" s="2" t="n"/>
      <c r="AE341" s="2" t="n">
        <v>52490</v>
      </c>
      <c r="AF341" s="2" t="n">
        <v>394650</v>
      </c>
    </row>
    <row r="342" ht="16" customHeight="1">
      <c r="A342" s="2" t="inlineStr">
        <is>
          <t>05/24/2025</t>
        </is>
      </c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>
        <v>41310000</v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Z342" s="2" t="n"/>
      <c r="AA342" s="2" t="n"/>
      <c r="AB342" s="2" t="n"/>
      <c r="AC342" s="2" t="n"/>
      <c r="AD342" s="2" t="n"/>
      <c r="AE342" s="2" t="n">
        <v>52260</v>
      </c>
      <c r="AF342" s="2" t="n">
        <v>284440</v>
      </c>
    </row>
    <row r="343" ht="16" customHeight="1">
      <c r="A343" s="2" t="inlineStr">
        <is>
          <t>05/23/2025</t>
        </is>
      </c>
      <c r="B343" s="2" t="n">
        <v>330130</v>
      </c>
      <c r="C343" s="2" t="n">
        <v>180660</v>
      </c>
      <c r="D343" s="2" t="n">
        <v>8550</v>
      </c>
      <c r="E343" s="2" t="n">
        <v>9120000</v>
      </c>
      <c r="F343" s="2" t="n">
        <v>450630</v>
      </c>
      <c r="G343" s="2" t="n"/>
      <c r="H343" s="2" t="n"/>
      <c r="I343" s="2" t="n">
        <v>302900</v>
      </c>
      <c r="J343" s="2" t="n">
        <v>113690000</v>
      </c>
      <c r="K343" s="2" t="n">
        <v>805330</v>
      </c>
      <c r="L343" s="2" t="n"/>
      <c r="M343" s="2" t="n">
        <v>349680</v>
      </c>
      <c r="N343" s="2" t="n"/>
      <c r="O343" s="2" t="n">
        <v>3110000</v>
      </c>
      <c r="P343" s="2" t="n">
        <v>1320000</v>
      </c>
      <c r="Q343" s="2" t="n">
        <v>10280</v>
      </c>
      <c r="R343" s="2" t="n">
        <v>136520</v>
      </c>
      <c r="S343" s="2" t="n">
        <v>337190</v>
      </c>
      <c r="T343" s="2" t="n">
        <v>6280</v>
      </c>
      <c r="U343" s="2" t="n">
        <v>2830000</v>
      </c>
      <c r="V343" s="2" t="n">
        <v>781490</v>
      </c>
      <c r="W343" s="2" t="n">
        <v>165570</v>
      </c>
      <c r="X343" s="2" t="n">
        <v>176080</v>
      </c>
      <c r="Z343" s="2" t="n">
        <v>3370000</v>
      </c>
      <c r="AA343" s="2" t="n">
        <v>16070000</v>
      </c>
      <c r="AB343" s="2" t="n">
        <v>6510000</v>
      </c>
      <c r="AC343" s="2" t="n">
        <v>21450000</v>
      </c>
      <c r="AD343" s="2" t="n">
        <v>1100000</v>
      </c>
      <c r="AE343" s="2" t="n">
        <v>87570</v>
      </c>
      <c r="AF343" s="2" t="n">
        <v>1070000</v>
      </c>
    </row>
    <row r="344" ht="16" customHeight="1">
      <c r="A344" s="2" t="inlineStr">
        <is>
          <t>05/22/2025</t>
        </is>
      </c>
      <c r="B344" s="2" t="n">
        <v>381190</v>
      </c>
      <c r="C344" s="2" t="n">
        <v>165690</v>
      </c>
      <c r="D344" s="2" t="n">
        <v>7710</v>
      </c>
      <c r="E344" s="2" t="n">
        <v>8900000</v>
      </c>
      <c r="F344" s="2" t="n">
        <v>320330</v>
      </c>
      <c r="G344" s="2" t="n"/>
      <c r="H344" s="2" t="n"/>
      <c r="I344" s="2" t="n">
        <v>340410</v>
      </c>
      <c r="J344" s="2" t="n">
        <v>81190000</v>
      </c>
      <c r="K344" s="2" t="n">
        <v>1210000</v>
      </c>
      <c r="L344" s="2" t="n"/>
      <c r="M344" s="2" t="n">
        <v>644680</v>
      </c>
      <c r="N344" s="2" t="n"/>
      <c r="O344" s="2" t="n">
        <v>4240000</v>
      </c>
      <c r="P344" s="2" t="n">
        <v>1330000</v>
      </c>
      <c r="Q344" s="2" t="n">
        <v>14540</v>
      </c>
      <c r="R344" s="2" t="n">
        <v>180480</v>
      </c>
      <c r="S344" s="2" t="n">
        <v>970310</v>
      </c>
      <c r="T344" s="2" t="n">
        <v>16700</v>
      </c>
      <c r="U344" s="2" t="n">
        <v>1860000</v>
      </c>
      <c r="V344" s="2" t="n">
        <v>1460000</v>
      </c>
      <c r="W344" s="2" t="n">
        <v>145650</v>
      </c>
      <c r="X344" s="2" t="n">
        <v>252030</v>
      </c>
      <c r="Z344" s="2" t="n">
        <v>2380000</v>
      </c>
      <c r="AA344" s="2" t="n">
        <v>16080000</v>
      </c>
      <c r="AB344" s="2" t="n">
        <v>5370000</v>
      </c>
      <c r="AC344" s="2" t="n">
        <v>16510000</v>
      </c>
      <c r="AD344" s="2" t="n">
        <v>1050000</v>
      </c>
      <c r="AE344" s="2" t="n">
        <v>96350</v>
      </c>
      <c r="AF344" s="2" t="n">
        <v>962370</v>
      </c>
    </row>
    <row r="345" ht="16" customHeight="1">
      <c r="A345" s="2" t="inlineStr">
        <is>
          <t>05/21/2025</t>
        </is>
      </c>
      <c r="B345" s="2" t="n">
        <v>320530</v>
      </c>
      <c r="C345" s="2" t="n">
        <v>352910</v>
      </c>
      <c r="D345" s="2" t="n">
        <v>8070</v>
      </c>
      <c r="E345" s="2" t="n">
        <v>11330000</v>
      </c>
      <c r="F345" s="2" t="n">
        <v>541350</v>
      </c>
      <c r="G345" s="2" t="n"/>
      <c r="H345" s="2" t="n"/>
      <c r="I345" s="2" t="n">
        <v>291390</v>
      </c>
      <c r="J345" s="2" t="n">
        <v>121480000</v>
      </c>
      <c r="K345" s="2" t="n">
        <v>983400</v>
      </c>
      <c r="L345" s="2" t="n"/>
      <c r="M345" s="2" t="n">
        <v>298200</v>
      </c>
      <c r="N345" s="2" t="n"/>
      <c r="O345" s="2" t="n">
        <v>4400000</v>
      </c>
      <c r="P345" s="2" t="n">
        <v>2570000</v>
      </c>
      <c r="Q345" s="2" t="n">
        <v>18650</v>
      </c>
      <c r="R345" s="2" t="n">
        <v>135220</v>
      </c>
      <c r="S345" s="2" t="n">
        <v>307280</v>
      </c>
      <c r="T345" s="2" t="n">
        <v>126500</v>
      </c>
      <c r="U345" s="2" t="n">
        <v>2580000</v>
      </c>
      <c r="V345" s="2" t="n">
        <v>659480</v>
      </c>
      <c r="W345" s="2" t="n">
        <v>141530</v>
      </c>
      <c r="X345" s="2" t="n">
        <v>152660</v>
      </c>
      <c r="Z345" s="2" t="n">
        <v>5050000</v>
      </c>
      <c r="AA345" s="2" t="n">
        <v>15840000</v>
      </c>
      <c r="AB345" s="2" t="n">
        <v>6340000</v>
      </c>
      <c r="AC345" s="2" t="n">
        <v>18700000</v>
      </c>
      <c r="AD345" s="2" t="n">
        <v>752220</v>
      </c>
      <c r="AE345" s="2" t="n">
        <v>124170</v>
      </c>
      <c r="AF345" s="2" t="n">
        <v>1210000</v>
      </c>
    </row>
    <row r="346" ht="16" customHeight="1">
      <c r="A346" s="2" t="inlineStr">
        <is>
          <t>05/20/2025</t>
        </is>
      </c>
      <c r="B346" s="2" t="n">
        <v>325630</v>
      </c>
      <c r="C346" s="2" t="n">
        <v>238940</v>
      </c>
      <c r="D346" s="2" t="n">
        <v>7120</v>
      </c>
      <c r="E346" s="2" t="n">
        <v>9250000</v>
      </c>
      <c r="F346" s="2" t="n">
        <v>379290</v>
      </c>
      <c r="G346" s="2" t="n"/>
      <c r="H346" s="2" t="n"/>
      <c r="I346" s="2" t="n">
        <v>293000</v>
      </c>
      <c r="J346" s="2" t="n">
        <v>60050000</v>
      </c>
      <c r="K346" s="2" t="n">
        <v>832730</v>
      </c>
      <c r="L346" s="2" t="n"/>
      <c r="M346" s="2" t="n">
        <v>182390</v>
      </c>
      <c r="N346" s="2" t="n"/>
      <c r="O346" s="2" t="n">
        <v>2580000</v>
      </c>
      <c r="P346" s="2" t="n">
        <v>2300000</v>
      </c>
      <c r="Q346" s="2" t="n">
        <v>13280</v>
      </c>
      <c r="R346" s="2" t="n">
        <v>121440</v>
      </c>
      <c r="S346" s="2" t="n">
        <v>365520</v>
      </c>
      <c r="T346" s="2" t="n">
        <v>6440</v>
      </c>
      <c r="U346" s="2" t="n">
        <v>982980</v>
      </c>
      <c r="V346" s="2" t="n">
        <v>744050</v>
      </c>
      <c r="W346" s="2" t="n">
        <v>194440</v>
      </c>
      <c r="X346" s="2" t="n">
        <v>114160</v>
      </c>
      <c r="Z346" s="2" t="n">
        <v>1940000</v>
      </c>
      <c r="AA346" s="2" t="n">
        <v>12280000</v>
      </c>
      <c r="AB346" s="2" t="n">
        <v>12250000</v>
      </c>
      <c r="AC346" s="2" t="n">
        <v>11530000</v>
      </c>
      <c r="AD346" s="2" t="n">
        <v>700880</v>
      </c>
      <c r="AE346" s="2" t="n">
        <v>76080</v>
      </c>
      <c r="AF346" s="2" t="n">
        <v>751550</v>
      </c>
    </row>
    <row r="347" ht="16" customHeight="1">
      <c r="A347" s="2" t="inlineStr">
        <is>
          <t>05/19/2025</t>
        </is>
      </c>
      <c r="B347" s="2" t="n">
        <v>332750</v>
      </c>
      <c r="C347" s="2" t="n">
        <v>195920</v>
      </c>
      <c r="D347" s="2" t="n">
        <v>9660</v>
      </c>
      <c r="E347" s="2" t="n">
        <v>15760000</v>
      </c>
      <c r="F347" s="2" t="n">
        <v>365550</v>
      </c>
      <c r="G347" s="2" t="n"/>
      <c r="H347" s="2" t="n"/>
      <c r="I347" s="2" t="n">
        <v>284650</v>
      </c>
      <c r="J347" s="2" t="n">
        <v>92150000</v>
      </c>
      <c r="K347" s="2" t="n">
        <v>1270000</v>
      </c>
      <c r="L347" s="2" t="n"/>
      <c r="M347" s="2" t="n">
        <v>363300</v>
      </c>
      <c r="N347" s="2" t="n"/>
      <c r="O347" s="2" t="n">
        <v>3610000</v>
      </c>
      <c r="P347" s="2" t="n">
        <v>1240000</v>
      </c>
      <c r="Q347" s="2" t="n">
        <v>19600</v>
      </c>
      <c r="R347" s="2" t="n">
        <v>394100</v>
      </c>
      <c r="S347" s="2" t="n">
        <v>450690</v>
      </c>
      <c r="T347" s="2" t="n">
        <v>61270</v>
      </c>
      <c r="U347" s="2" t="n">
        <v>1840000</v>
      </c>
      <c r="V347" s="2" t="n">
        <v>1890000</v>
      </c>
      <c r="W347" s="2" t="n">
        <v>222970</v>
      </c>
      <c r="X347" s="2" t="n">
        <v>102050</v>
      </c>
      <c r="Z347" s="2" t="n">
        <v>2750000</v>
      </c>
      <c r="AA347" s="2" t="n">
        <v>15070000</v>
      </c>
      <c r="AB347" s="2" t="n">
        <v>6090000</v>
      </c>
      <c r="AC347" s="2" t="n">
        <v>12820000</v>
      </c>
      <c r="AD347" s="2" t="n">
        <v>999660</v>
      </c>
      <c r="AE347" s="2" t="n">
        <v>90490</v>
      </c>
      <c r="AF347" s="2" t="n">
        <v>961230</v>
      </c>
    </row>
    <row r="348" ht="16" customHeight="1">
      <c r="A348" s="2" t="inlineStr">
        <is>
          <t>05/18/2025</t>
        </is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>
        <v>52230000</v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Z348" s="2" t="n"/>
      <c r="AA348" s="2" t="n"/>
      <c r="AB348" s="2" t="n"/>
      <c r="AC348" s="2" t="n"/>
      <c r="AD348" s="2" t="n"/>
      <c r="AE348" s="2" t="n">
        <v>62470</v>
      </c>
      <c r="AF348" s="2" t="n">
        <v>905260</v>
      </c>
    </row>
    <row r="349" ht="16" customHeight="1">
      <c r="A349" s="2" t="inlineStr">
        <is>
          <t>05/17/2025</t>
        </is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>
        <v>43600000</v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Z349" s="2" t="n"/>
      <c r="AA349" s="2" t="n"/>
      <c r="AB349" s="2" t="n"/>
      <c r="AC349" s="2" t="n"/>
      <c r="AD349" s="2" t="n"/>
      <c r="AE349" s="2" t="n">
        <v>37430</v>
      </c>
      <c r="AF349" s="2" t="n">
        <v>566930</v>
      </c>
    </row>
    <row r="350" ht="16" customHeight="1">
      <c r="A350" s="2" t="inlineStr">
        <is>
          <t>05/16/2025</t>
        </is>
      </c>
      <c r="B350" s="2" t="n">
        <v>337510</v>
      </c>
      <c r="C350" s="2" t="n">
        <v>165830</v>
      </c>
      <c r="D350" s="2" t="n">
        <v>8790</v>
      </c>
      <c r="E350" s="2" t="n">
        <v>10110000</v>
      </c>
      <c r="F350" s="2" t="n">
        <v>366840</v>
      </c>
      <c r="G350" s="2" t="n"/>
      <c r="H350" s="2" t="n"/>
      <c r="I350" s="2" t="n">
        <v>308460</v>
      </c>
      <c r="J350" s="2" t="n">
        <v>42700000</v>
      </c>
      <c r="K350" s="2" t="n">
        <v>1080000</v>
      </c>
      <c r="L350" s="2" t="n"/>
      <c r="M350" s="2" t="n">
        <v>262810</v>
      </c>
      <c r="N350" s="2" t="n"/>
      <c r="O350" s="2" t="n">
        <v>2400000</v>
      </c>
      <c r="P350" s="2" t="n">
        <v>1200000</v>
      </c>
      <c r="Q350" s="2" t="n">
        <v>16960</v>
      </c>
      <c r="R350" s="2" t="n">
        <v>393680</v>
      </c>
      <c r="S350" s="2" t="n">
        <v>326820</v>
      </c>
      <c r="T350" s="2" t="n">
        <v>22530</v>
      </c>
      <c r="U350" s="2" t="n">
        <v>3320000</v>
      </c>
      <c r="V350" s="2" t="n">
        <v>939960</v>
      </c>
      <c r="W350" s="2" t="n">
        <v>170290</v>
      </c>
      <c r="X350" s="2" t="n">
        <v>174640</v>
      </c>
      <c r="Z350" s="2" t="n">
        <v>2070000</v>
      </c>
      <c r="AA350" s="2" t="n">
        <v>11780000</v>
      </c>
      <c r="AB350" s="2" t="n">
        <v>4810000</v>
      </c>
      <c r="AC350" s="2" t="n">
        <v>12460000</v>
      </c>
      <c r="AD350" s="2" t="n">
        <v>989810</v>
      </c>
      <c r="AE350" s="2" t="n">
        <v>53270</v>
      </c>
      <c r="AF350" s="2" t="n">
        <v>680350</v>
      </c>
    </row>
    <row r="351" ht="16" customHeight="1">
      <c r="A351" s="2" t="inlineStr">
        <is>
          <t>05/15/2025</t>
        </is>
      </c>
      <c r="B351" s="2" t="n">
        <v>396690</v>
      </c>
      <c r="C351" s="2" t="n">
        <v>232870</v>
      </c>
      <c r="D351" s="2" t="n">
        <v>8550</v>
      </c>
      <c r="E351" s="2" t="n">
        <v>10060000</v>
      </c>
      <c r="F351" s="2" t="n">
        <v>443240</v>
      </c>
      <c r="G351" s="2" t="n"/>
      <c r="H351" s="2" t="n"/>
      <c r="I351" s="2" t="n">
        <v>319330</v>
      </c>
      <c r="J351" s="2" t="n">
        <v>113860000</v>
      </c>
      <c r="K351" s="2" t="n">
        <v>1710000</v>
      </c>
      <c r="L351" s="2" t="n"/>
      <c r="M351" s="2" t="n">
        <v>634040</v>
      </c>
      <c r="N351" s="2" t="n"/>
      <c r="O351" s="2" t="n">
        <v>2920000</v>
      </c>
      <c r="P351" s="2" t="n">
        <v>1480000</v>
      </c>
      <c r="Q351" s="2" t="n">
        <v>19560</v>
      </c>
      <c r="R351" s="2" t="n">
        <v>192020</v>
      </c>
      <c r="S351" s="2" t="n">
        <v>511670</v>
      </c>
      <c r="T351" s="2" t="n">
        <v>83350</v>
      </c>
      <c r="U351" s="2" t="n">
        <v>2570000</v>
      </c>
      <c r="V351" s="2" t="n">
        <v>1650000</v>
      </c>
      <c r="W351" s="2" t="n">
        <v>220030</v>
      </c>
      <c r="X351" s="2" t="n">
        <v>154210</v>
      </c>
      <c r="Z351" s="2" t="n">
        <v>2690000</v>
      </c>
      <c r="AA351" s="2" t="n">
        <v>14410000</v>
      </c>
      <c r="AB351" s="2" t="n">
        <v>5240000</v>
      </c>
      <c r="AC351" s="2" t="n">
        <v>14670000</v>
      </c>
      <c r="AD351" s="2" t="n">
        <v>1000000</v>
      </c>
      <c r="AE351" s="2" t="n">
        <v>59680</v>
      </c>
      <c r="AF351" s="2" t="n">
        <v>862280</v>
      </c>
    </row>
    <row r="352" ht="16" customHeight="1">
      <c r="A352" s="2" t="inlineStr">
        <is>
          <t>05/14/2025</t>
        </is>
      </c>
      <c r="B352" s="2" t="n">
        <v>332790</v>
      </c>
      <c r="C352" s="2" t="n">
        <v>169770</v>
      </c>
      <c r="D352" s="2" t="n">
        <v>10180</v>
      </c>
      <c r="E352" s="2" t="n">
        <v>9820000</v>
      </c>
      <c r="F352" s="2" t="n">
        <v>413980</v>
      </c>
      <c r="G352" s="2" t="n"/>
      <c r="H352" s="2" t="n"/>
      <c r="I352" s="2" t="n">
        <v>281530</v>
      </c>
      <c r="J352" s="2" t="n">
        <v>90730000</v>
      </c>
      <c r="K352" s="2" t="n">
        <v>1100000</v>
      </c>
      <c r="L352" s="2" t="n"/>
      <c r="M352" s="2" t="n">
        <v>335710</v>
      </c>
      <c r="N352" s="2" t="n"/>
      <c r="O352" s="2" t="n">
        <v>3210000</v>
      </c>
      <c r="P352" s="2" t="n">
        <v>2140000</v>
      </c>
      <c r="Q352" s="2" t="n">
        <v>15060</v>
      </c>
      <c r="R352" s="2" t="n">
        <v>274890</v>
      </c>
      <c r="S352" s="2" t="n">
        <v>670340</v>
      </c>
      <c r="T352" s="2" t="n">
        <v>48320</v>
      </c>
      <c r="U352" s="2" t="n">
        <v>2420000</v>
      </c>
      <c r="V352" s="2" t="n">
        <v>1450000</v>
      </c>
      <c r="W352" s="2" t="n">
        <v>229840</v>
      </c>
      <c r="X352" s="2" t="n">
        <v>188320</v>
      </c>
      <c r="Z352" s="2" t="n">
        <v>3650000</v>
      </c>
      <c r="AA352" s="2" t="n">
        <v>17300000</v>
      </c>
      <c r="AB352" s="2" t="n">
        <v>8109999.999999999</v>
      </c>
      <c r="AC352" s="2" t="n">
        <v>10720000</v>
      </c>
      <c r="AD352" s="2" t="n">
        <v>1120000</v>
      </c>
      <c r="AE352" s="2" t="n">
        <v>55580</v>
      </c>
      <c r="AF352" s="2" t="n">
        <v>928090</v>
      </c>
    </row>
    <row r="353" ht="16" customHeight="1">
      <c r="A353" s="2" t="inlineStr">
        <is>
          <t>05/13/2025</t>
        </is>
      </c>
      <c r="B353" s="2" t="n">
        <v>339280</v>
      </c>
      <c r="C353" s="2" t="n">
        <v>266540</v>
      </c>
      <c r="D353" s="2" t="n">
        <v>10860</v>
      </c>
      <c r="E353" s="2" t="n">
        <v>18170000</v>
      </c>
      <c r="F353" s="2" t="n">
        <v>364720</v>
      </c>
      <c r="G353" s="2" t="n"/>
      <c r="H353" s="2" t="n"/>
      <c r="I353" s="2" t="n">
        <v>199150</v>
      </c>
      <c r="J353" s="2" t="n">
        <v>89060000</v>
      </c>
      <c r="K353" s="2" t="n">
        <v>1470000</v>
      </c>
      <c r="L353" s="2" t="n"/>
      <c r="M353" s="2" t="n">
        <v>278710</v>
      </c>
      <c r="N353" s="2" t="n"/>
      <c r="O353" s="2" t="n">
        <v>2720000</v>
      </c>
      <c r="P353" s="2" t="n">
        <v>2020000</v>
      </c>
      <c r="Q353" s="2" t="n">
        <v>10960</v>
      </c>
      <c r="R353" s="2" t="n">
        <v>217840</v>
      </c>
      <c r="S353" s="2" t="n">
        <v>1540000</v>
      </c>
      <c r="T353" s="2" t="n">
        <v>59690</v>
      </c>
      <c r="U353" s="2" t="n">
        <v>3690000</v>
      </c>
      <c r="V353" s="2" t="n">
        <v>2610000</v>
      </c>
      <c r="W353" s="2" t="n">
        <v>202070</v>
      </c>
      <c r="X353" s="2" t="n">
        <v>152380</v>
      </c>
      <c r="Z353" s="2" t="n">
        <v>5310000</v>
      </c>
      <c r="AA353" s="2" t="n">
        <v>17390000</v>
      </c>
      <c r="AB353" s="2" t="n">
        <v>10060000</v>
      </c>
      <c r="AC353" s="2" t="n">
        <v>12920000</v>
      </c>
      <c r="AD353" s="2" t="n">
        <v>990600</v>
      </c>
      <c r="AE353" s="2" t="n">
        <v>71910</v>
      </c>
      <c r="AF353" s="2" t="n">
        <v>1150000</v>
      </c>
    </row>
    <row r="354" ht="16" customHeight="1">
      <c r="A354" s="2" t="inlineStr">
        <is>
          <t>05/12/2025</t>
        </is>
      </c>
      <c r="B354" s="2" t="n">
        <v>327490</v>
      </c>
      <c r="C354" s="2" t="n">
        <v>196640</v>
      </c>
      <c r="D354" s="2" t="n">
        <v>9850</v>
      </c>
      <c r="E354" s="2" t="n">
        <v>16810000</v>
      </c>
      <c r="F354" s="2" t="n">
        <v>447880</v>
      </c>
      <c r="G354" s="2" t="n"/>
      <c r="H354" s="2" t="n"/>
      <c r="I354" s="2" t="n">
        <v>210050</v>
      </c>
      <c r="J354" s="2" t="n">
        <v>129280000</v>
      </c>
      <c r="K354" s="2" t="n">
        <v>1140000</v>
      </c>
      <c r="L354" s="2" t="n"/>
      <c r="M354" s="2" t="n">
        <v>321370</v>
      </c>
      <c r="N354" s="2" t="n"/>
      <c r="O354" s="2" t="n">
        <v>1720000</v>
      </c>
      <c r="P354" s="2" t="n">
        <v>2200000</v>
      </c>
      <c r="Q354" s="2" t="n">
        <v>15670</v>
      </c>
      <c r="R354" s="2" t="n">
        <v>198840</v>
      </c>
      <c r="S354" s="2" t="n">
        <v>490040</v>
      </c>
      <c r="T354" s="2" t="n">
        <v>23150</v>
      </c>
      <c r="U354" s="2" t="n">
        <v>2450000</v>
      </c>
      <c r="V354" s="2" t="n">
        <v>1160000</v>
      </c>
      <c r="W354" s="2" t="n">
        <v>218290</v>
      </c>
      <c r="X354" s="2" t="n">
        <v>185490</v>
      </c>
      <c r="Z354" s="2" t="n">
        <v>4900000</v>
      </c>
      <c r="AA354" s="2" t="n">
        <v>18700000</v>
      </c>
      <c r="AB354" s="2" t="n">
        <v>7730000</v>
      </c>
      <c r="AC354" s="2" t="n">
        <v>16250000</v>
      </c>
      <c r="AD354" s="2" t="n">
        <v>2080000</v>
      </c>
      <c r="AE354" s="2" t="n">
        <v>90210</v>
      </c>
      <c r="AF354" s="2" t="n">
        <v>1190000</v>
      </c>
    </row>
    <row r="355" ht="16" customHeight="1">
      <c r="A355" s="2" t="inlineStr">
        <is>
          <t>05/11/2025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>
        <v>74550000</v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Z355" s="2" t="n"/>
      <c r="AA355" s="2" t="n"/>
      <c r="AB355" s="2" t="n"/>
      <c r="AC355" s="2" t="n"/>
      <c r="AD355" s="2" t="n"/>
      <c r="AE355" s="2" t="n">
        <v>54760</v>
      </c>
      <c r="AF355" s="2" t="n">
        <v>924220</v>
      </c>
    </row>
    <row r="356" ht="16" customHeight="1">
      <c r="A356" s="2" t="inlineStr">
        <is>
          <t>05/10/2025</t>
        </is>
      </c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>
        <v>90690000</v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Z356" s="2" t="n"/>
      <c r="AA356" s="2" t="n"/>
      <c r="AB356" s="2" t="n"/>
      <c r="AC356" s="2" t="n"/>
      <c r="AD356" s="2" t="n"/>
      <c r="AE356" s="2" t="n">
        <v>48420</v>
      </c>
      <c r="AF356" s="2" t="n">
        <v>1130000</v>
      </c>
    </row>
    <row r="357" ht="16" customHeight="1">
      <c r="A357" s="2" t="inlineStr">
        <is>
          <t>05/09/2025</t>
        </is>
      </c>
      <c r="B357" s="2" t="n">
        <v>331540</v>
      </c>
      <c r="C357" s="2" t="n">
        <v>149920</v>
      </c>
      <c r="D357" s="2" t="n">
        <v>7340</v>
      </c>
      <c r="E357" s="2" t="n">
        <v>11790000</v>
      </c>
      <c r="F357" s="2" t="n">
        <v>227530</v>
      </c>
      <c r="G357" s="2" t="n"/>
      <c r="H357" s="2" t="n"/>
      <c r="I357" s="2" t="n">
        <v>195510</v>
      </c>
      <c r="J357" s="2" t="n">
        <v>131870000</v>
      </c>
      <c r="K357" s="2" t="n">
        <v>1220000</v>
      </c>
      <c r="L357" s="2" t="n"/>
      <c r="M357" s="2" t="n">
        <v>224830</v>
      </c>
      <c r="N357" s="2" t="n"/>
      <c r="O357" s="2" t="n">
        <v>877010</v>
      </c>
      <c r="P357" s="2" t="n">
        <v>1310000</v>
      </c>
      <c r="Q357" s="2" t="n">
        <v>10810</v>
      </c>
      <c r="R357" s="2" t="n">
        <v>159540</v>
      </c>
      <c r="S357" s="2" t="n">
        <v>687770</v>
      </c>
      <c r="T357" s="2" t="n">
        <v>119760</v>
      </c>
      <c r="U357" s="2" t="n">
        <v>4090000</v>
      </c>
      <c r="V357" s="2" t="n">
        <v>1510000</v>
      </c>
      <c r="W357" s="2" t="n">
        <v>128430</v>
      </c>
      <c r="X357" s="2" t="n">
        <v>161470</v>
      </c>
      <c r="Z357" s="2" t="n">
        <v>1840000</v>
      </c>
      <c r="AA357" s="2" t="n">
        <v>14200000</v>
      </c>
      <c r="AB357" s="2" t="n">
        <v>4640000</v>
      </c>
      <c r="AC357" s="2" t="n">
        <v>17160000</v>
      </c>
      <c r="AD357" s="2" t="n">
        <v>1050000</v>
      </c>
      <c r="AE357" s="2" t="n">
        <v>87340</v>
      </c>
      <c r="AF357" s="2" t="n">
        <v>1790000</v>
      </c>
    </row>
    <row r="358" ht="16" customHeight="1">
      <c r="A358" s="2" t="inlineStr">
        <is>
          <t>05/08/2025</t>
        </is>
      </c>
      <c r="B358" s="2" t="n">
        <v>365790</v>
      </c>
      <c r="C358" s="2" t="n">
        <v>204370</v>
      </c>
      <c r="D358" s="2" t="n">
        <v>5930</v>
      </c>
      <c r="E358" s="2" t="n">
        <v>11930000</v>
      </c>
      <c r="F358" s="2" t="n">
        <v>286380</v>
      </c>
      <c r="G358" s="2" t="n"/>
      <c r="H358" s="2" t="n"/>
      <c r="I358" s="2" t="n">
        <v>222730</v>
      </c>
      <c r="J358" s="2" t="n">
        <v>140390000</v>
      </c>
      <c r="K358" s="2" t="n">
        <v>1050000</v>
      </c>
      <c r="L358" s="2" t="n"/>
      <c r="M358" s="2" t="n">
        <v>212450</v>
      </c>
      <c r="N358" s="2" t="n"/>
      <c r="O358" s="2" t="n">
        <v>1220000</v>
      </c>
      <c r="P358" s="2" t="n">
        <v>1230000</v>
      </c>
      <c r="Q358" s="2" t="n">
        <v>15350</v>
      </c>
      <c r="R358" s="2" t="n">
        <v>174690</v>
      </c>
      <c r="S358" s="2" t="n">
        <v>588660</v>
      </c>
      <c r="T358" s="2" t="n">
        <v>42830</v>
      </c>
      <c r="U358" s="2" t="n">
        <v>3470000</v>
      </c>
      <c r="V358" s="2" t="n">
        <v>1190000</v>
      </c>
      <c r="W358" s="2" t="n">
        <v>173490</v>
      </c>
      <c r="X358" s="2" t="n">
        <v>813980</v>
      </c>
      <c r="Z358" s="2" t="n">
        <v>3490000</v>
      </c>
      <c r="AA358" s="2" t="n">
        <v>20050000</v>
      </c>
      <c r="AB358" s="2" t="n">
        <v>7370000</v>
      </c>
      <c r="AC358" s="2" t="n">
        <v>22140000</v>
      </c>
      <c r="AD358" s="2" t="n">
        <v>1250000</v>
      </c>
      <c r="AE358" s="2" t="n">
        <v>110600</v>
      </c>
      <c r="AF358" s="2" t="n">
        <v>1610000</v>
      </c>
    </row>
    <row r="359" ht="16" customHeight="1">
      <c r="A359" s="2" t="inlineStr">
        <is>
          <t>05/07/2025</t>
        </is>
      </c>
      <c r="B359" s="2" t="n">
        <v>355590</v>
      </c>
      <c r="C359" s="2" t="n">
        <v>268060</v>
      </c>
      <c r="D359" s="2" t="n">
        <v>9660</v>
      </c>
      <c r="E359" s="2" t="n">
        <v>8540000</v>
      </c>
      <c r="F359" s="2" t="n">
        <v>51760</v>
      </c>
      <c r="G359" s="2" t="n"/>
      <c r="H359" s="2" t="n"/>
      <c r="I359" s="2" t="n">
        <v>176590</v>
      </c>
      <c r="J359" s="2" t="n">
        <v>67320000</v>
      </c>
      <c r="K359" s="2" t="n">
        <v>1340000</v>
      </c>
      <c r="L359" s="2" t="n"/>
      <c r="M359" s="2" t="n">
        <v>491530</v>
      </c>
      <c r="N359" s="2" t="n"/>
      <c r="O359" s="2" t="n">
        <v>2180000</v>
      </c>
      <c r="P359" s="2" t="n">
        <v>2130000</v>
      </c>
      <c r="Q359" s="2" t="n">
        <v>24280</v>
      </c>
      <c r="R359" s="2" t="n">
        <v>728330</v>
      </c>
      <c r="S359" s="2" t="n">
        <v>659480</v>
      </c>
      <c r="T359" s="2" t="n">
        <v>11730</v>
      </c>
      <c r="U359" s="2" t="n">
        <v>4540000</v>
      </c>
      <c r="V359" s="2" t="n">
        <v>1220000</v>
      </c>
      <c r="W359" s="2" t="n">
        <v>171190</v>
      </c>
      <c r="X359" s="2" t="n">
        <v>138220</v>
      </c>
      <c r="Z359" s="2" t="n">
        <v>2090000</v>
      </c>
      <c r="AA359" s="2" t="n">
        <v>12970000</v>
      </c>
      <c r="AB359" s="2" t="n">
        <v>5280000</v>
      </c>
      <c r="AC359" s="2" t="n">
        <v>10610000</v>
      </c>
      <c r="AD359" s="2" t="n">
        <v>631420</v>
      </c>
      <c r="AE359" s="2" t="n">
        <v>59980</v>
      </c>
      <c r="AF359" s="2" t="n">
        <v>520169.9999999999</v>
      </c>
    </row>
    <row r="360" ht="16" customHeight="1">
      <c r="A360" s="2" t="inlineStr">
        <is>
          <t>05/06/2025</t>
        </is>
      </c>
      <c r="B360" s="2" t="n"/>
      <c r="C360" s="2" t="n"/>
      <c r="D360" s="2" t="n"/>
      <c r="E360" s="2" t="n">
        <v>8990000</v>
      </c>
      <c r="F360" s="2" t="n">
        <v>121580</v>
      </c>
      <c r="G360" s="2" t="n"/>
      <c r="H360" s="2" t="n"/>
      <c r="I360" s="2" t="n">
        <v>178980</v>
      </c>
      <c r="J360" s="2" t="n">
        <v>58490000</v>
      </c>
      <c r="K360" s="2" t="n"/>
      <c r="L360" s="2" t="n"/>
      <c r="M360" s="2" t="n"/>
      <c r="N360" s="2" t="n"/>
      <c r="O360" s="2" t="n">
        <v>1640000</v>
      </c>
      <c r="P360" s="2" t="n">
        <v>2230000</v>
      </c>
      <c r="Q360" s="2" t="n"/>
      <c r="R360" s="2" t="n"/>
      <c r="S360" s="2" t="n"/>
      <c r="T360" s="2" t="n"/>
      <c r="U360" s="2" t="n"/>
      <c r="V360" s="2" t="n"/>
      <c r="W360" s="2" t="n"/>
      <c r="X360" s="2" t="n"/>
      <c r="Z360" s="2" t="n">
        <v>3000000</v>
      </c>
      <c r="AA360" s="2" t="n">
        <v>12090000</v>
      </c>
      <c r="AB360" s="2" t="n">
        <v>5950000</v>
      </c>
      <c r="AC360" s="2" t="n">
        <v>9700000</v>
      </c>
      <c r="AD360" s="2" t="n">
        <v>1000000</v>
      </c>
      <c r="AE360" s="2" t="n">
        <v>55760</v>
      </c>
      <c r="AF360" s="2" t="n">
        <v>436530</v>
      </c>
    </row>
    <row r="361" ht="16" customHeight="1">
      <c r="A361" s="2" t="inlineStr">
        <is>
          <t>05/05/2025</t>
        </is>
      </c>
      <c r="B361" s="2" t="n"/>
      <c r="C361" s="2" t="n"/>
      <c r="D361" s="2" t="n"/>
      <c r="E361" s="2" t="n">
        <v>13220000</v>
      </c>
      <c r="F361" s="2" t="n">
        <v>114260</v>
      </c>
      <c r="G361" s="2" t="n"/>
      <c r="H361" s="2" t="n"/>
      <c r="I361" s="2" t="n">
        <v>144130</v>
      </c>
      <c r="J361" s="2" t="n">
        <v>55570000</v>
      </c>
      <c r="K361" s="2" t="n"/>
      <c r="L361" s="2" t="n"/>
      <c r="M361" s="2" t="n"/>
      <c r="N361" s="2" t="n"/>
      <c r="O361" s="2" t="n">
        <v>1740000</v>
      </c>
      <c r="P361" s="2" t="n">
        <v>1260000</v>
      </c>
      <c r="Q361" s="2" t="n"/>
      <c r="R361" s="2" t="n"/>
      <c r="S361" s="2" t="n"/>
      <c r="T361" s="2" t="n"/>
      <c r="U361" s="2" t="n"/>
      <c r="V361" s="2" t="n"/>
      <c r="W361" s="2" t="n"/>
      <c r="X361" s="2" t="n"/>
      <c r="Z361" s="2" t="n">
        <v>1350000</v>
      </c>
      <c r="AA361" s="2" t="n">
        <v>14150000</v>
      </c>
      <c r="AB361" s="2" t="n">
        <v>15040000</v>
      </c>
      <c r="AC361" s="2" t="n">
        <v>14420000</v>
      </c>
      <c r="AD361" s="2" t="n">
        <v>1590000</v>
      </c>
      <c r="AE361" s="2" t="n">
        <v>59210</v>
      </c>
      <c r="AF361" s="2" t="n">
        <v>382490</v>
      </c>
    </row>
    <row r="362" ht="16" customHeight="1">
      <c r="A362" s="2" t="inlineStr">
        <is>
          <t>05/04/2025</t>
        </is>
      </c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>
        <v>28350000</v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Z362" s="2" t="n"/>
      <c r="AA362" s="2" t="n"/>
      <c r="AB362" s="2" t="n"/>
      <c r="AC362" s="2" t="n"/>
      <c r="AD362" s="2" t="n"/>
      <c r="AE362" s="2" t="n">
        <v>41310</v>
      </c>
      <c r="AF362" s="2" t="n">
        <v>267550</v>
      </c>
    </row>
    <row r="363" ht="16" customHeight="1">
      <c r="A363" s="2" t="inlineStr">
        <is>
          <t>05/03/2025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>
        <v>26990000</v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Z363" s="2" t="n"/>
      <c r="AA363" s="2" t="n"/>
      <c r="AB363" s="2" t="n"/>
      <c r="AC363" s="2" t="n"/>
      <c r="AD363" s="2" t="n"/>
      <c r="AE363" s="2" t="n">
        <v>36240</v>
      </c>
      <c r="AF363" s="2" t="n">
        <v>251340</v>
      </c>
    </row>
    <row r="364" ht="16" customHeight="1">
      <c r="A364" s="2" t="inlineStr">
        <is>
          <t>05/02/2025</t>
        </is>
      </c>
      <c r="B364" s="2" t="n">
        <v>367520</v>
      </c>
      <c r="C364" s="2" t="n">
        <v>173450</v>
      </c>
      <c r="D364" s="2" t="n">
        <v>10590</v>
      </c>
      <c r="E364" s="2" t="n">
        <v>13930000</v>
      </c>
      <c r="F364" s="2" t="n">
        <v>644380</v>
      </c>
      <c r="G364" s="2" t="n"/>
      <c r="H364" s="2" t="n"/>
      <c r="I364" s="2" t="n">
        <v>123940</v>
      </c>
      <c r="J364" s="2" t="n">
        <v>67820000</v>
      </c>
      <c r="K364" s="2" t="n">
        <v>1380000</v>
      </c>
      <c r="L364" s="2" t="n"/>
      <c r="M364" s="2" t="n">
        <v>255920</v>
      </c>
      <c r="N364" s="2" t="n"/>
      <c r="O364" s="2" t="n">
        <v>1710000</v>
      </c>
      <c r="P364" s="2" t="n">
        <v>1170000</v>
      </c>
      <c r="Q364" s="2" t="n">
        <v>27710</v>
      </c>
      <c r="R364" s="2" t="n">
        <v>750710</v>
      </c>
      <c r="S364" s="2" t="n">
        <v>560550</v>
      </c>
      <c r="T364" s="2" t="n">
        <v>16700</v>
      </c>
      <c r="U364" s="2" t="n">
        <v>3430000</v>
      </c>
      <c r="V364" s="2" t="n">
        <v>1320000</v>
      </c>
      <c r="W364" s="2" t="n">
        <v>234880</v>
      </c>
      <c r="X364" s="2" t="n">
        <v>202230</v>
      </c>
      <c r="Z364" s="2" t="n">
        <v>2380000</v>
      </c>
      <c r="AA364" s="2" t="n">
        <v>14240000</v>
      </c>
      <c r="AB364" s="2" t="n">
        <v>6220000</v>
      </c>
      <c r="AC364" s="2" t="n">
        <v>15950000</v>
      </c>
      <c r="AD364" s="2" t="n">
        <v>811090</v>
      </c>
      <c r="AE364" s="2" t="n">
        <v>51940</v>
      </c>
      <c r="AF364" s="2" t="n">
        <v>464790</v>
      </c>
    </row>
    <row r="365" ht="16" customHeight="1">
      <c r="A365" s="2" t="inlineStr">
        <is>
          <t>05/01/2025</t>
        </is>
      </c>
      <c r="B365" s="2" t="n"/>
      <c r="C365" s="2" t="n"/>
      <c r="D365" s="2" t="n"/>
      <c r="E365" s="2" t="n">
        <v>21290000</v>
      </c>
      <c r="F365" s="2" t="n">
        <v>107950</v>
      </c>
      <c r="G365" s="2" t="n"/>
      <c r="H365" s="2" t="n"/>
      <c r="I365" s="2" t="n">
        <v>137100</v>
      </c>
      <c r="J365" s="2" t="n">
        <v>36470000</v>
      </c>
      <c r="K365" s="2" t="n"/>
      <c r="L365" s="2" t="n"/>
      <c r="M365" s="2" t="n"/>
      <c r="N365" s="2" t="n"/>
      <c r="O365" s="2" t="n">
        <v>1790000</v>
      </c>
      <c r="P365" s="2" t="n">
        <v>1780000</v>
      </c>
      <c r="Q365" s="2" t="n"/>
      <c r="R365" s="2" t="n"/>
      <c r="S365" s="2" t="n"/>
      <c r="T365" s="2" t="n"/>
      <c r="U365" s="2" t="n"/>
      <c r="V365" s="2" t="n"/>
      <c r="W365" s="2" t="n"/>
      <c r="X365" s="2" t="n"/>
      <c r="Z365" s="2" t="n">
        <v>2590000</v>
      </c>
      <c r="AA365" s="2" t="n">
        <v>15470000</v>
      </c>
      <c r="AB365" s="2" t="n">
        <v>5550000</v>
      </c>
      <c r="AC365" s="2" t="n">
        <v>16940000</v>
      </c>
      <c r="AD365" s="2" t="n">
        <v>943120</v>
      </c>
      <c r="AE365" s="2" t="n">
        <v>74560</v>
      </c>
      <c r="AF365" s="2" t="n">
        <v>606440</v>
      </c>
    </row>
    <row r="366" ht="16" customHeight="1">
      <c r="A366" s="2" t="inlineStr">
        <is>
          <t>04/30/2025</t>
        </is>
      </c>
      <c r="B366" s="2" t="n">
        <v>408720</v>
      </c>
      <c r="C366" s="2" t="n">
        <v>307780</v>
      </c>
      <c r="D366" s="2" t="n">
        <v>9090</v>
      </c>
      <c r="E366" s="2" t="n">
        <v>16040000</v>
      </c>
      <c r="F366" s="2" t="n">
        <v>204590</v>
      </c>
      <c r="G366" s="2" t="n"/>
      <c r="H366" s="2" t="n"/>
      <c r="I366" s="2" t="n">
        <v>90340</v>
      </c>
      <c r="J366" s="2" t="n">
        <v>66800000</v>
      </c>
      <c r="K366" s="2" t="n">
        <v>699100</v>
      </c>
      <c r="L366" s="2" t="n"/>
      <c r="M366" s="2" t="n">
        <v>103470</v>
      </c>
      <c r="N366" s="2" t="n"/>
      <c r="O366" s="2" t="n">
        <v>2740000</v>
      </c>
      <c r="P366" s="2" t="n">
        <v>1810000</v>
      </c>
      <c r="Q366" s="2" t="n">
        <v>10460</v>
      </c>
      <c r="R366" s="2" t="n">
        <v>254910</v>
      </c>
      <c r="S366" s="2" t="n">
        <v>671030</v>
      </c>
      <c r="T366" s="2" t="n">
        <v>22610</v>
      </c>
      <c r="U366" s="2" t="n">
        <v>3890000</v>
      </c>
      <c r="V366" s="2" t="n">
        <v>1210000</v>
      </c>
      <c r="W366" s="2" t="n">
        <v>126060</v>
      </c>
      <c r="X366" s="2" t="n">
        <v>389720</v>
      </c>
      <c r="Z366" s="2" t="n">
        <v>2990000</v>
      </c>
      <c r="AA366" s="2" t="n">
        <v>13640000</v>
      </c>
      <c r="AB366" s="2" t="n">
        <v>7340000</v>
      </c>
      <c r="AC366" s="2" t="n">
        <v>13760000</v>
      </c>
      <c r="AD366" s="2" t="n">
        <v>1130000</v>
      </c>
      <c r="AE366" s="2" t="n">
        <v>57100</v>
      </c>
      <c r="AF366" s="2" t="n">
        <v>533700</v>
      </c>
    </row>
    <row r="367" ht="16" customHeight="1">
      <c r="A367" s="2" t="inlineStr">
        <is>
          <t>04/29/2025</t>
        </is>
      </c>
      <c r="B367" s="2" t="n">
        <v>340850</v>
      </c>
      <c r="C367" s="2" t="n">
        <v>213140</v>
      </c>
      <c r="D367" s="2" t="n">
        <v>10480</v>
      </c>
      <c r="E367" s="2" t="n">
        <v>8550000</v>
      </c>
      <c r="F367" s="2" t="n">
        <v>132810</v>
      </c>
      <c r="G367" s="2" t="n"/>
      <c r="H367" s="2" t="n"/>
      <c r="I367" s="2" t="n">
        <v>112420</v>
      </c>
      <c r="J367" s="2" t="n">
        <v>77830000</v>
      </c>
      <c r="K367" s="2" t="n">
        <v>1110000</v>
      </c>
      <c r="L367" s="2" t="n"/>
      <c r="M367" s="2" t="n">
        <v>88780</v>
      </c>
      <c r="N367" s="2" t="n"/>
      <c r="O367" s="2" t="n">
        <v>1210000</v>
      </c>
      <c r="P367" s="2" t="n">
        <v>6350000</v>
      </c>
      <c r="Q367" s="2" t="n">
        <v>15440</v>
      </c>
      <c r="R367" s="2" t="n">
        <v>680340</v>
      </c>
      <c r="S367" s="2" t="n">
        <v>527700</v>
      </c>
      <c r="T367" s="2" t="n">
        <v>48420</v>
      </c>
      <c r="U367" s="2" t="n">
        <v>4120000</v>
      </c>
      <c r="V367" s="2" t="n">
        <v>1000000</v>
      </c>
      <c r="W367" s="2" t="n">
        <v>164830</v>
      </c>
      <c r="X367" s="2" t="n">
        <v>382390</v>
      </c>
      <c r="Z367" s="2" t="n">
        <v>2520000</v>
      </c>
      <c r="AA367" s="2" t="n">
        <v>12640000</v>
      </c>
      <c r="AB367" s="2" t="n">
        <v>17290000</v>
      </c>
      <c r="AC367" s="2" t="n">
        <v>13040000</v>
      </c>
      <c r="AD367" s="2" t="n">
        <v>740170</v>
      </c>
      <c r="AE367" s="2" t="n">
        <v>59860</v>
      </c>
      <c r="AF367" s="2" t="n">
        <v>537560</v>
      </c>
    </row>
    <row r="368" ht="16" customHeight="1">
      <c r="A368" s="2" t="inlineStr">
        <is>
          <t>04/28/2025</t>
        </is>
      </c>
      <c r="B368" s="2" t="n">
        <v>334090</v>
      </c>
      <c r="C368" s="2" t="n">
        <v>268700</v>
      </c>
      <c r="D368" s="2" t="n">
        <v>9230</v>
      </c>
      <c r="E368" s="2" t="n">
        <v>9130000</v>
      </c>
      <c r="F368" s="2" t="n">
        <v>104570</v>
      </c>
      <c r="G368" s="2" t="n"/>
      <c r="H368" s="2" t="n"/>
      <c r="I368" s="2" t="n">
        <v>47840</v>
      </c>
      <c r="J368" s="2" t="n">
        <v>67060000</v>
      </c>
      <c r="K368" s="2" t="n">
        <v>1230000</v>
      </c>
      <c r="L368" s="2" t="n"/>
      <c r="M368" s="2" t="n">
        <v>187720</v>
      </c>
      <c r="N368" s="2" t="n"/>
      <c r="O368" s="2" t="n">
        <v>1060000</v>
      </c>
      <c r="P368" s="2" t="n">
        <v>1320000</v>
      </c>
      <c r="Q368" s="2" t="n">
        <v>13390</v>
      </c>
      <c r="R368" s="2" t="n">
        <v>140390</v>
      </c>
      <c r="S368" s="2" t="n">
        <v>540700</v>
      </c>
      <c r="T368" s="2" t="n">
        <v>15700</v>
      </c>
      <c r="U368" s="2" t="n">
        <v>3230000</v>
      </c>
      <c r="V368" s="2" t="n">
        <v>1080000</v>
      </c>
      <c r="W368" s="2" t="n">
        <v>167790</v>
      </c>
      <c r="X368" s="2" t="n">
        <v>239790</v>
      </c>
      <c r="Z368" s="2" t="n">
        <v>3850000</v>
      </c>
      <c r="AA368" s="2" t="n">
        <v>14820000</v>
      </c>
      <c r="AB368" s="2" t="n">
        <v>7180000</v>
      </c>
      <c r="AC368" s="2" t="n">
        <v>11490000</v>
      </c>
      <c r="AD368" s="2" t="n">
        <v>872950</v>
      </c>
      <c r="AE368" s="2" t="n">
        <v>73630</v>
      </c>
      <c r="AF368" s="2" t="n">
        <v>681190</v>
      </c>
    </row>
    <row r="369" ht="16" customHeight="1">
      <c r="A369" s="2" t="inlineStr">
        <is>
          <t>04/27/2025</t>
        </is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>
        <v>42330000</v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Z369" s="2" t="n"/>
      <c r="AA369" s="2" t="n"/>
      <c r="AB369" s="2" t="n"/>
      <c r="AC369" s="2" t="n"/>
      <c r="AD369" s="2" t="n"/>
      <c r="AE369" s="2" t="n">
        <v>36660</v>
      </c>
      <c r="AF369" s="2" t="n">
        <v>378990</v>
      </c>
    </row>
    <row r="370" ht="16" customHeight="1">
      <c r="A370" s="2" t="inlineStr">
        <is>
          <t>04/26/2025</t>
        </is>
      </c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>
        <v>32580000</v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Z370" s="2" t="n"/>
      <c r="AA370" s="2" t="n"/>
      <c r="AB370" s="2" t="n"/>
      <c r="AC370" s="2" t="n"/>
      <c r="AD370" s="2" t="n"/>
      <c r="AE370" s="2" t="n">
        <v>33770</v>
      </c>
      <c r="AF370" s="2" t="n">
        <v>399270</v>
      </c>
    </row>
    <row r="371" ht="16" customHeight="1">
      <c r="A371" s="2" t="inlineStr">
        <is>
          <t>04/25/2025</t>
        </is>
      </c>
      <c r="B371" s="2" t="n">
        <v>331870</v>
      </c>
      <c r="C371" s="2" t="n">
        <v>205150</v>
      </c>
      <c r="D371" s="2" t="n">
        <v>12140</v>
      </c>
      <c r="E371" s="2" t="n">
        <v>8820000</v>
      </c>
      <c r="F371" s="2" t="n">
        <v>266560</v>
      </c>
      <c r="G371" s="2" t="n"/>
      <c r="H371" s="2" t="n"/>
      <c r="I371" s="2" t="n">
        <v>84770</v>
      </c>
      <c r="J371" s="2" t="n">
        <v>51010000</v>
      </c>
      <c r="K371" s="2" t="n">
        <v>1590000</v>
      </c>
      <c r="L371" s="2" t="n"/>
      <c r="M371" s="2" t="n">
        <v>159640</v>
      </c>
      <c r="N371" s="2" t="n"/>
      <c r="O371" s="2" t="n">
        <v>1720000</v>
      </c>
      <c r="P371" s="2" t="n">
        <v>1330000</v>
      </c>
      <c r="Q371" s="2" t="n">
        <v>18870</v>
      </c>
      <c r="R371" s="2" t="n">
        <v>147890</v>
      </c>
      <c r="S371" s="2" t="n">
        <v>597140</v>
      </c>
      <c r="T371" s="2" t="n">
        <v>64110</v>
      </c>
      <c r="U371" s="2" t="n">
        <v>3950000</v>
      </c>
      <c r="V371" s="2" t="n">
        <v>1400000</v>
      </c>
      <c r="W371" s="2" t="n">
        <v>168050</v>
      </c>
      <c r="X371" s="2" t="n">
        <v>365780</v>
      </c>
      <c r="Z371" s="2" t="n">
        <v>2000000</v>
      </c>
      <c r="AA371" s="2" t="n">
        <v>14350000</v>
      </c>
      <c r="AB371" s="2" t="n">
        <v>5000000</v>
      </c>
      <c r="AC371" s="2" t="n">
        <v>19340000</v>
      </c>
      <c r="AD371" s="2" t="n">
        <v>968530</v>
      </c>
      <c r="AE371" s="2" t="n">
        <v>92040</v>
      </c>
      <c r="AF371" s="2" t="n">
        <v>664670</v>
      </c>
    </row>
    <row r="372" ht="16" customHeight="1">
      <c r="A372" s="2" t="inlineStr">
        <is>
          <t>04/24/2025</t>
        </is>
      </c>
      <c r="B372" s="2" t="n">
        <v>368670</v>
      </c>
      <c r="C372" s="2" t="n">
        <v>169850</v>
      </c>
      <c r="D372" s="2" t="n">
        <v>6070</v>
      </c>
      <c r="E372" s="2" t="n">
        <v>12070000</v>
      </c>
      <c r="F372" s="2" t="n">
        <v>68160</v>
      </c>
      <c r="G372" s="2" t="n"/>
      <c r="H372" s="2" t="n"/>
      <c r="I372" s="2" t="n">
        <v>68020</v>
      </c>
      <c r="J372" s="2" t="n">
        <v>58610000</v>
      </c>
      <c r="K372" s="2" t="n">
        <v>1820000</v>
      </c>
      <c r="L372" s="2" t="n"/>
      <c r="M372" s="2" t="n">
        <v>114970</v>
      </c>
      <c r="N372" s="2" t="n"/>
      <c r="O372" s="2" t="n">
        <v>1750000</v>
      </c>
      <c r="P372" s="2" t="n">
        <v>1290000</v>
      </c>
      <c r="Q372" s="2" t="n">
        <v>6080</v>
      </c>
      <c r="R372" s="2" t="n">
        <v>90180</v>
      </c>
      <c r="S372" s="2" t="n">
        <v>558760</v>
      </c>
      <c r="T372" s="2" t="n">
        <v>6670</v>
      </c>
      <c r="U372" s="2" t="n">
        <v>4290000</v>
      </c>
      <c r="V372" s="2" t="n">
        <v>1090000</v>
      </c>
      <c r="W372" s="2" t="n">
        <v>92240</v>
      </c>
      <c r="X372" s="2" t="n">
        <v>2990000</v>
      </c>
      <c r="Z372" s="2" t="n">
        <v>2610000</v>
      </c>
      <c r="AA372" s="2" t="n">
        <v>15490000</v>
      </c>
      <c r="AB372" s="2" t="n">
        <v>6930000</v>
      </c>
      <c r="AC372" s="2" t="n">
        <v>10780000</v>
      </c>
      <c r="AD372" s="2" t="n">
        <v>900900</v>
      </c>
      <c r="AE372" s="2" t="n">
        <v>66680</v>
      </c>
      <c r="AF372" s="2" t="n">
        <v>552530</v>
      </c>
    </row>
    <row r="373" ht="16" customHeight="1">
      <c r="A373" s="2" t="inlineStr">
        <is>
          <t>04/23/2025</t>
        </is>
      </c>
      <c r="B373" s="2" t="n">
        <v>333520</v>
      </c>
      <c r="C373" s="2" t="n">
        <v>251730</v>
      </c>
      <c r="D373" s="2" t="n">
        <v>14080</v>
      </c>
      <c r="E373" s="2" t="n">
        <v>19140000</v>
      </c>
      <c r="F373" s="2" t="n">
        <v>318290</v>
      </c>
      <c r="G373" s="2" t="n"/>
      <c r="H373" s="2" t="n"/>
      <c r="I373" s="2" t="n">
        <v>144380</v>
      </c>
      <c r="J373" s="2" t="n">
        <v>95610000</v>
      </c>
      <c r="K373" s="2" t="n">
        <v>3030000</v>
      </c>
      <c r="L373" s="2" t="n"/>
      <c r="M373" s="2" t="n">
        <v>167150</v>
      </c>
      <c r="N373" s="2" t="n"/>
      <c r="O373" s="2" t="n">
        <v>4850000</v>
      </c>
      <c r="P373" s="2" t="n">
        <v>4150000</v>
      </c>
      <c r="Q373" s="2" t="n">
        <v>20650</v>
      </c>
      <c r="R373" s="2" t="n">
        <v>197280</v>
      </c>
      <c r="S373" s="2" t="n">
        <v>1340000</v>
      </c>
      <c r="T373" s="2" t="n">
        <v>47550</v>
      </c>
      <c r="U373" s="2" t="n">
        <v>3100000</v>
      </c>
      <c r="V373" s="2" t="n">
        <v>1730000</v>
      </c>
      <c r="W373" s="2" t="n">
        <v>159840</v>
      </c>
      <c r="X373" s="2" t="n">
        <v>598900</v>
      </c>
      <c r="Z373" s="2" t="n">
        <v>3560000</v>
      </c>
      <c r="AA373" s="2" t="n">
        <v>27870000</v>
      </c>
      <c r="AB373" s="2" t="n">
        <v>11120000</v>
      </c>
      <c r="AC373" s="2" t="n">
        <v>16690000</v>
      </c>
      <c r="AD373" s="2" t="n">
        <v>1190000</v>
      </c>
      <c r="AE373" s="2" t="n">
        <v>90350</v>
      </c>
      <c r="AF373" s="2" t="n">
        <v>987580</v>
      </c>
    </row>
    <row r="374" ht="16" customHeight="1">
      <c r="A374" s="2" t="inlineStr">
        <is>
          <t>04/22/2025</t>
        </is>
      </c>
      <c r="B374" s="2" t="n">
        <v>327930</v>
      </c>
      <c r="C374" s="2" t="n">
        <v>250290</v>
      </c>
      <c r="D374" s="2" t="n">
        <v>8870</v>
      </c>
      <c r="E374" s="2" t="n">
        <v>11600000</v>
      </c>
      <c r="F374" s="2" t="n">
        <v>148170</v>
      </c>
      <c r="G374" s="2" t="n"/>
      <c r="H374" s="2" t="n"/>
      <c r="I374" s="2" t="n">
        <v>93670</v>
      </c>
      <c r="J374" s="2" t="n">
        <v>103900000</v>
      </c>
      <c r="K374" s="2" t="n">
        <v>2350000</v>
      </c>
      <c r="L374" s="2" t="n"/>
      <c r="M374" s="2" t="n">
        <v>281450</v>
      </c>
      <c r="N374" s="2" t="n"/>
      <c r="O374" s="2" t="n">
        <v>2080000</v>
      </c>
      <c r="P374" s="2" t="n">
        <v>1250000</v>
      </c>
      <c r="Q374" s="2" t="n">
        <v>9160</v>
      </c>
      <c r="R374" s="2" t="n">
        <v>118690</v>
      </c>
      <c r="S374" s="2" t="n">
        <v>948640</v>
      </c>
      <c r="T374" s="2" t="n">
        <v>36910</v>
      </c>
      <c r="U374" s="2" t="n">
        <v>5730000</v>
      </c>
      <c r="V374" s="2" t="n">
        <v>2340000</v>
      </c>
      <c r="W374" s="2" t="n">
        <v>193310</v>
      </c>
      <c r="X374" s="2" t="n">
        <v>2070000</v>
      </c>
      <c r="Z374" s="2" t="n">
        <v>2530000</v>
      </c>
      <c r="AA374" s="2" t="n">
        <v>21480000</v>
      </c>
      <c r="AB374" s="2" t="n">
        <v>9690000</v>
      </c>
      <c r="AC374" s="2" t="n">
        <v>24040000</v>
      </c>
      <c r="AD374" s="2" t="n">
        <v>1200000</v>
      </c>
      <c r="AE374" s="2" t="n">
        <v>130170</v>
      </c>
      <c r="AF374" s="2" t="n">
        <v>1220000</v>
      </c>
    </row>
    <row r="375" ht="16" customHeight="1">
      <c r="A375" s="2" t="inlineStr">
        <is>
          <t>04/21/2025</t>
        </is>
      </c>
      <c r="B375" s="2" t="n">
        <v>327600</v>
      </c>
      <c r="C375" s="2" t="n">
        <v>267650</v>
      </c>
      <c r="D375" s="2" t="n">
        <v>9540</v>
      </c>
      <c r="E375" s="2" t="n">
        <v>10760000</v>
      </c>
      <c r="F375" s="2" t="n">
        <v>106530</v>
      </c>
      <c r="G375" s="2" t="n"/>
      <c r="H375" s="2" t="n"/>
      <c r="I375" s="2" t="n">
        <v>179840</v>
      </c>
      <c r="J375" s="2" t="n">
        <v>53970000</v>
      </c>
      <c r="K375" s="2" t="n">
        <v>1560000</v>
      </c>
      <c r="L375" s="2" t="n"/>
      <c r="M375" s="2" t="n">
        <v>154570</v>
      </c>
      <c r="N375" s="2" t="n"/>
      <c r="O375" s="2" t="n">
        <v>1520000</v>
      </c>
      <c r="P375" s="2" t="n">
        <v>2310000</v>
      </c>
      <c r="Q375" s="2" t="n">
        <v>10580</v>
      </c>
      <c r="R375" s="2" t="n">
        <v>389780</v>
      </c>
      <c r="S375" s="2" t="n">
        <v>1020000</v>
      </c>
      <c r="T375" s="2" t="n">
        <v>60770</v>
      </c>
      <c r="U375" s="2" t="n">
        <v>4640000</v>
      </c>
      <c r="V375" s="2" t="n">
        <v>2200000</v>
      </c>
      <c r="W375" s="2" t="n">
        <v>157250</v>
      </c>
      <c r="X375" s="2" t="n">
        <v>1820000</v>
      </c>
      <c r="Z375" s="2" t="n">
        <v>2380000</v>
      </c>
      <c r="AA375" s="2" t="n">
        <v>21930000</v>
      </c>
      <c r="AB375" s="2" t="n">
        <v>9370000</v>
      </c>
      <c r="AC375" s="2" t="n">
        <v>16050000</v>
      </c>
      <c r="AD375" s="2" t="n">
        <v>1370000</v>
      </c>
      <c r="AE375" s="2" t="n">
        <v>98500</v>
      </c>
      <c r="AF375" s="2" t="n">
        <v>765650</v>
      </c>
    </row>
    <row r="376" ht="16" customHeight="1">
      <c r="A376" s="2" t="inlineStr">
        <is>
          <t>04/20/2025</t>
        </is>
      </c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>
        <v>27520000</v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Z376" s="2" t="n"/>
      <c r="AA376" s="2" t="n"/>
      <c r="AB376" s="2" t="n"/>
      <c r="AC376" s="2" t="n"/>
      <c r="AD376" s="2" t="n"/>
      <c r="AE376" s="2" t="n">
        <v>32080</v>
      </c>
      <c r="AF376" s="2" t="n">
        <v>313170</v>
      </c>
    </row>
    <row r="377" ht="16" customHeight="1">
      <c r="A377" s="2" t="inlineStr">
        <is>
          <t>04/19/2025</t>
        </is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>
        <v>34280000</v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Z377" s="2" t="n"/>
      <c r="AA377" s="2" t="n"/>
      <c r="AB377" s="2" t="n"/>
      <c r="AC377" s="2" t="n"/>
      <c r="AD377" s="2" t="n"/>
      <c r="AE377" s="2" t="n">
        <v>32070</v>
      </c>
      <c r="AF377" s="2" t="n">
        <v>254250</v>
      </c>
    </row>
    <row r="378" ht="16" customHeight="1">
      <c r="A378" s="2" t="inlineStr">
        <is>
          <t>04/18/2025</t>
        </is>
      </c>
      <c r="B378" s="2" t="n">
        <v>327840</v>
      </c>
      <c r="C378" s="2" t="n">
        <v>328920</v>
      </c>
      <c r="D378" s="2" t="n">
        <v>8360</v>
      </c>
      <c r="E378" s="2" t="n"/>
      <c r="F378" s="2" t="n"/>
      <c r="G378" s="2" t="n"/>
      <c r="H378" s="2" t="n"/>
      <c r="I378" s="2" t="n"/>
      <c r="J378" s="2" t="n">
        <v>53790000</v>
      </c>
      <c r="K378" s="2" t="n">
        <v>811770</v>
      </c>
      <c r="L378" s="2" t="n"/>
      <c r="M378" s="2" t="n">
        <v>83830</v>
      </c>
      <c r="N378" s="2" t="n"/>
      <c r="O378" s="2" t="n"/>
      <c r="P378" s="2" t="n"/>
      <c r="Q378" s="2" t="n">
        <v>7560</v>
      </c>
      <c r="R378" s="2" t="n">
        <v>132410</v>
      </c>
      <c r="S378" s="2" t="n">
        <v>263350</v>
      </c>
      <c r="T378" s="2" t="n">
        <v>10200</v>
      </c>
      <c r="U378" s="2" t="n">
        <v>1620000</v>
      </c>
      <c r="V378" s="2" t="n">
        <v>2090000</v>
      </c>
      <c r="W378" s="2" t="n">
        <v>119220</v>
      </c>
      <c r="X378" s="2" t="n">
        <v>11170000</v>
      </c>
      <c r="Z378" s="2" t="n"/>
      <c r="AA378" s="2" t="n"/>
      <c r="AB378" s="2" t="n"/>
      <c r="AC378" s="2" t="n"/>
      <c r="AD378" s="2" t="n"/>
      <c r="AE378" s="2" t="n">
        <v>25830</v>
      </c>
      <c r="AF378" s="2" t="n">
        <v>227750</v>
      </c>
    </row>
    <row r="379" ht="16" customHeight="1">
      <c r="A379" s="2" t="inlineStr">
        <is>
          <t>04/17/2025</t>
        </is>
      </c>
      <c r="B379" s="2" t="n">
        <v>353620</v>
      </c>
      <c r="C379" s="2" t="n">
        <v>747580</v>
      </c>
      <c r="D379" s="2" t="n">
        <v>6510</v>
      </c>
      <c r="E379" s="2" t="n">
        <v>8650000</v>
      </c>
      <c r="F379" s="2" t="n">
        <v>141340</v>
      </c>
      <c r="G379" s="2" t="n"/>
      <c r="H379" s="2" t="n"/>
      <c r="I379" s="2" t="n">
        <v>69480</v>
      </c>
      <c r="J379" s="2" t="n">
        <v>54260000</v>
      </c>
      <c r="K379" s="2" t="n">
        <v>1660000</v>
      </c>
      <c r="L379" s="2" t="n"/>
      <c r="M379" s="2" t="n">
        <v>150030</v>
      </c>
      <c r="N379" s="2" t="n"/>
      <c r="O379" s="2" t="n">
        <v>1400000</v>
      </c>
      <c r="P379" s="2" t="n">
        <v>1520000</v>
      </c>
      <c r="Q379" s="2" t="n">
        <v>24940</v>
      </c>
      <c r="R379" s="2" t="n">
        <v>156610</v>
      </c>
      <c r="S379" s="2" t="n">
        <v>1220000</v>
      </c>
      <c r="T379" s="2" t="n">
        <v>25620</v>
      </c>
      <c r="U379" s="2" t="n">
        <v>4190000</v>
      </c>
      <c r="V379" s="2" t="n">
        <v>1150000</v>
      </c>
      <c r="W379" s="2" t="n">
        <v>137810</v>
      </c>
      <c r="X379" s="2" t="n">
        <v>691090</v>
      </c>
      <c r="Z379" s="2" t="n">
        <v>2910000</v>
      </c>
      <c r="AA379" s="2" t="n">
        <v>15390000</v>
      </c>
      <c r="AB379" s="2" t="n">
        <v>20000000</v>
      </c>
      <c r="AC379" s="2" t="n">
        <v>13510000</v>
      </c>
      <c r="AD379" s="2" t="n">
        <v>948650</v>
      </c>
      <c r="AE379" s="2" t="n">
        <v>49280</v>
      </c>
      <c r="AF379" s="2" t="n">
        <v>509340</v>
      </c>
    </row>
    <row r="380" ht="16" customHeight="1">
      <c r="A380" s="2" t="inlineStr">
        <is>
          <t>04/16/2025</t>
        </is>
      </c>
      <c r="B380" s="2" t="n">
        <v>320430</v>
      </c>
      <c r="C380" s="2" t="n">
        <v>281840</v>
      </c>
      <c r="D380" s="2" t="n">
        <v>9590</v>
      </c>
      <c r="E380" s="2" t="n">
        <v>8840000</v>
      </c>
      <c r="F380" s="2" t="n">
        <v>181890</v>
      </c>
      <c r="G380" s="2" t="n"/>
      <c r="H380" s="2" t="n"/>
      <c r="I380" s="2" t="n">
        <v>108700</v>
      </c>
      <c r="J380" s="2" t="n">
        <v>105650000</v>
      </c>
      <c r="K380" s="2" t="n">
        <v>1670000</v>
      </c>
      <c r="L380" s="2" t="n"/>
      <c r="M380" s="2" t="n">
        <v>183410</v>
      </c>
      <c r="N380" s="2" t="n"/>
      <c r="O380" s="2" t="n">
        <v>2500000</v>
      </c>
      <c r="P380" s="2" t="n">
        <v>1770000</v>
      </c>
      <c r="Q380" s="2" t="n">
        <v>16500</v>
      </c>
      <c r="R380" s="2" t="n">
        <v>237360</v>
      </c>
      <c r="S380" s="2" t="n">
        <v>1440000</v>
      </c>
      <c r="T380" s="2" t="n">
        <v>14710</v>
      </c>
      <c r="U380" s="2" t="n">
        <v>4890000</v>
      </c>
      <c r="V380" s="2" t="n">
        <v>1260000</v>
      </c>
      <c r="W380" s="2" t="n">
        <v>188570</v>
      </c>
      <c r="X380" s="2" t="n">
        <v>8600000</v>
      </c>
      <c r="Z380" s="2" t="n">
        <v>3300000</v>
      </c>
      <c r="AA380" s="2" t="n">
        <v>18600000</v>
      </c>
      <c r="AB380" s="2" t="n">
        <v>9790000</v>
      </c>
      <c r="AC380" s="2" t="n">
        <v>12850000</v>
      </c>
      <c r="AD380" s="2" t="n">
        <v>1040000</v>
      </c>
      <c r="AE380" s="2" t="n">
        <v>63970</v>
      </c>
      <c r="AF380" s="2" t="n">
        <v>687090</v>
      </c>
    </row>
    <row r="381" ht="16" customHeight="1">
      <c r="A381" s="2" t="inlineStr">
        <is>
          <t>04/15/2025</t>
        </is>
      </c>
      <c r="B381" s="2" t="n">
        <v>330970</v>
      </c>
      <c r="C381" s="2" t="n">
        <v>196740</v>
      </c>
      <c r="D381" s="2" t="n">
        <v>9310</v>
      </c>
      <c r="E381" s="2" t="n">
        <v>10040000</v>
      </c>
      <c r="F381" s="2" t="n">
        <v>102620</v>
      </c>
      <c r="G381" s="2" t="n"/>
      <c r="H381" s="2" t="n"/>
      <c r="I381" s="2" t="n">
        <v>86090</v>
      </c>
      <c r="J381" s="2" t="n">
        <v>64099999.99999999</v>
      </c>
      <c r="K381" s="2" t="n">
        <v>855500</v>
      </c>
      <c r="L381" s="2" t="n"/>
      <c r="M381" s="2" t="n">
        <v>278730</v>
      </c>
      <c r="N381" s="2" t="n"/>
      <c r="O381" s="2" t="n">
        <v>1230000</v>
      </c>
      <c r="P381" s="2" t="n">
        <v>1190000</v>
      </c>
      <c r="Q381" s="2" t="n">
        <v>7700</v>
      </c>
      <c r="R381" s="2" t="n">
        <v>216490</v>
      </c>
      <c r="S381" s="2" t="n">
        <v>751200</v>
      </c>
      <c r="T381" s="2" t="n">
        <v>25520</v>
      </c>
      <c r="U381" s="2" t="n">
        <v>3970000</v>
      </c>
      <c r="V381" s="2" t="n">
        <v>1420000</v>
      </c>
      <c r="W381" s="2" t="n">
        <v>211400</v>
      </c>
      <c r="X381" s="2" t="n">
        <v>37170</v>
      </c>
      <c r="Z381" s="2" t="n">
        <v>2440000</v>
      </c>
      <c r="AA381" s="2" t="n">
        <v>17240000</v>
      </c>
      <c r="AB381" s="2" t="n">
        <v>8410000</v>
      </c>
      <c r="AC381" s="2" t="n">
        <v>11220000</v>
      </c>
      <c r="AD381" s="2" t="n">
        <v>1070000</v>
      </c>
      <c r="AE381" s="2" t="n">
        <v>62450</v>
      </c>
      <c r="AF381" s="2" t="n">
        <v>543640</v>
      </c>
    </row>
    <row r="382" ht="16" customHeight="1">
      <c r="A382" s="2" t="inlineStr">
        <is>
          <t>04/14/2025</t>
        </is>
      </c>
      <c r="B382" s="2" t="n">
        <v>332560</v>
      </c>
      <c r="C382" s="2" t="n">
        <v>236330</v>
      </c>
      <c r="D382" s="2" t="n">
        <v>13530</v>
      </c>
      <c r="E382" s="2" t="n">
        <v>13770000</v>
      </c>
      <c r="F382" s="2" t="n">
        <v>149390</v>
      </c>
      <c r="G382" s="2" t="n"/>
      <c r="H382" s="2" t="n"/>
      <c r="I382" s="2" t="n">
        <v>176000</v>
      </c>
      <c r="J382" s="2" t="n">
        <v>52440000</v>
      </c>
      <c r="K382" s="2" t="n">
        <v>1270000</v>
      </c>
      <c r="L382" s="2" t="n"/>
      <c r="M382" s="2" t="n">
        <v>523110</v>
      </c>
      <c r="N382" s="2" t="n"/>
      <c r="O382" s="2" t="n">
        <v>5970000</v>
      </c>
      <c r="P382" s="2" t="n">
        <v>2160000</v>
      </c>
      <c r="Q382" s="2" t="n">
        <v>38330</v>
      </c>
      <c r="R382" s="2" t="n">
        <v>445850</v>
      </c>
      <c r="S382" s="2" t="n">
        <v>1540000</v>
      </c>
      <c r="T382" s="2" t="n">
        <v>13400</v>
      </c>
      <c r="U382" s="2" t="n">
        <v>5070000</v>
      </c>
      <c r="V382" s="2" t="n">
        <v>2100000</v>
      </c>
      <c r="W382" s="2" t="n">
        <v>265580</v>
      </c>
      <c r="X382" s="2" t="n">
        <v>43090</v>
      </c>
      <c r="Z382" s="2" t="n">
        <v>3690000</v>
      </c>
      <c r="AA382" s="2" t="n">
        <v>27320000</v>
      </c>
      <c r="AB382" s="2" t="n">
        <v>11500000</v>
      </c>
      <c r="AC382" s="2" t="n">
        <v>15640000</v>
      </c>
      <c r="AD382" s="2" t="n">
        <v>2030000</v>
      </c>
      <c r="AE382" s="2" t="n">
        <v>78030</v>
      </c>
      <c r="AF382" s="2" t="n">
        <v>747300</v>
      </c>
    </row>
    <row r="383" ht="16" customHeight="1">
      <c r="A383" s="2" t="inlineStr">
        <is>
          <t>04/13/2025</t>
        </is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>
        <v>37650000</v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Z383" s="2" t="n"/>
      <c r="AA383" s="2" t="n"/>
      <c r="AB383" s="2" t="n"/>
      <c r="AC383" s="2" t="n"/>
      <c r="AD383" s="2" t="n"/>
      <c r="AE383" s="2" t="n">
        <v>70930</v>
      </c>
      <c r="AF383" s="2" t="n">
        <v>665930</v>
      </c>
    </row>
    <row r="384" ht="16" customHeight="1">
      <c r="A384" s="2" t="inlineStr">
        <is>
          <t>04/12/2025</t>
        </is>
      </c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>
        <v>47920000</v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Z384" s="2" t="n"/>
      <c r="AA384" s="2" t="n"/>
      <c r="AB384" s="2" t="n"/>
      <c r="AC384" s="2" t="n"/>
      <c r="AD384" s="2" t="n"/>
      <c r="AE384" s="2" t="n">
        <v>55600</v>
      </c>
      <c r="AF384" s="2" t="n">
        <v>570510</v>
      </c>
    </row>
    <row r="385" ht="16" customHeight="1">
      <c r="A385" s="2" t="inlineStr">
        <is>
          <t>04/11/2025</t>
        </is>
      </c>
      <c r="B385" s="2" t="n">
        <v>333380</v>
      </c>
      <c r="C385" s="2" t="n">
        <v>370140</v>
      </c>
      <c r="D385" s="2" t="n">
        <v>13510</v>
      </c>
      <c r="E385" s="2" t="n">
        <v>12920000</v>
      </c>
      <c r="F385" s="2" t="n">
        <v>394060</v>
      </c>
      <c r="G385" s="2" t="n"/>
      <c r="H385" s="2" t="n"/>
      <c r="I385" s="2" t="n">
        <v>238380</v>
      </c>
      <c r="J385" s="2" t="n">
        <v>67060000</v>
      </c>
      <c r="K385" s="2" t="n">
        <v>1870000</v>
      </c>
      <c r="L385" s="2" t="n"/>
      <c r="M385" s="2" t="n">
        <v>574570</v>
      </c>
      <c r="N385" s="2" t="n"/>
      <c r="O385" s="2" t="n">
        <v>7260000</v>
      </c>
      <c r="P385" s="2" t="n">
        <v>2740000</v>
      </c>
      <c r="Q385" s="2" t="n">
        <v>20730</v>
      </c>
      <c r="R385" s="2" t="n">
        <v>2300000</v>
      </c>
      <c r="S385" s="2" t="n">
        <v>3420000</v>
      </c>
      <c r="T385" s="2" t="n">
        <v>61750</v>
      </c>
      <c r="U385" s="2" t="n">
        <v>7490000</v>
      </c>
      <c r="V385" s="2" t="n">
        <v>2450000</v>
      </c>
      <c r="W385" s="2" t="n">
        <v>283050</v>
      </c>
      <c r="X385" s="2" t="n">
        <v>36560</v>
      </c>
      <c r="Z385" s="2" t="n">
        <v>3730000</v>
      </c>
      <c r="AA385" s="2" t="n">
        <v>21690000</v>
      </c>
      <c r="AB385" s="2" t="n">
        <v>12820000</v>
      </c>
      <c r="AC385" s="2" t="n">
        <v>21330000</v>
      </c>
      <c r="AD385" s="2" t="n">
        <v>1460000</v>
      </c>
      <c r="AE385" s="2" t="n">
        <v>94620</v>
      </c>
      <c r="AF385" s="2" t="n">
        <v>653520</v>
      </c>
    </row>
    <row r="386" ht="16" customHeight="1">
      <c r="A386" s="2" t="inlineStr">
        <is>
          <t>04/10/2025</t>
        </is>
      </c>
      <c r="B386" s="2" t="n">
        <v>365570</v>
      </c>
      <c r="C386" s="2" t="n">
        <v>232430</v>
      </c>
      <c r="D386" s="2" t="n">
        <v>15810</v>
      </c>
      <c r="E386" s="2" t="n">
        <v>16850000</v>
      </c>
      <c r="F386" s="2" t="n">
        <v>132900</v>
      </c>
      <c r="G386" s="2" t="n"/>
      <c r="H386" s="2" t="n"/>
      <c r="I386" s="2" t="n">
        <v>189000</v>
      </c>
      <c r="J386" s="2" t="n">
        <v>70730000</v>
      </c>
      <c r="K386" s="2" t="n">
        <v>1540000</v>
      </c>
      <c r="L386" s="2" t="n"/>
      <c r="M386" s="2" t="n">
        <v>260580</v>
      </c>
      <c r="N386" s="2" t="n"/>
      <c r="O386" s="2" t="n">
        <v>4330000</v>
      </c>
      <c r="P386" s="2" t="n">
        <v>3570000</v>
      </c>
      <c r="Q386" s="2" t="n">
        <v>32610</v>
      </c>
      <c r="R386" s="2" t="n">
        <v>1270000</v>
      </c>
      <c r="S386" s="2" t="n">
        <v>1910000</v>
      </c>
      <c r="T386" s="2" t="n">
        <v>37540</v>
      </c>
      <c r="U386" s="2" t="n">
        <v>6000000</v>
      </c>
      <c r="V386" s="2" t="n">
        <v>3100000</v>
      </c>
      <c r="W386" s="2" t="n">
        <v>332750</v>
      </c>
      <c r="X386" s="2" t="n">
        <v>70510</v>
      </c>
      <c r="Z386" s="2" t="n">
        <v>6140000</v>
      </c>
      <c r="AA386" s="2" t="n">
        <v>31360000</v>
      </c>
      <c r="AB386" s="2" t="n">
        <v>27610000</v>
      </c>
      <c r="AC386" s="2" t="n">
        <v>19240000</v>
      </c>
      <c r="AD386" s="2" t="n">
        <v>1770000</v>
      </c>
      <c r="AE386" s="2" t="n">
        <v>92830</v>
      </c>
      <c r="AF386" s="2" t="n">
        <v>1030000</v>
      </c>
    </row>
    <row r="387" ht="16" customHeight="1">
      <c r="A387" s="2" t="inlineStr">
        <is>
          <t>04/09/2025</t>
        </is>
      </c>
      <c r="B387" s="2" t="n">
        <v>341880</v>
      </c>
      <c r="C387" s="2" t="n">
        <v>254070</v>
      </c>
      <c r="D387" s="2" t="n">
        <v>16010</v>
      </c>
      <c r="E387" s="2" t="n">
        <v>21840000</v>
      </c>
      <c r="F387" s="2" t="n">
        <v>403160</v>
      </c>
      <c r="G387" s="2" t="n"/>
      <c r="H387" s="2" t="n"/>
      <c r="I387" s="2" t="n">
        <v>195980</v>
      </c>
      <c r="J387" s="2" t="n">
        <v>106500000</v>
      </c>
      <c r="K387" s="2" t="n">
        <v>1200000</v>
      </c>
      <c r="L387" s="2" t="n"/>
      <c r="M387" s="2" t="n">
        <v>545680</v>
      </c>
      <c r="N387" s="2" t="n"/>
      <c r="O387" s="2" t="n">
        <v>8980000</v>
      </c>
      <c r="P387" s="2" t="n">
        <v>3190000</v>
      </c>
      <c r="Q387" s="2" t="n">
        <v>68900</v>
      </c>
      <c r="R387" s="2" t="n">
        <v>396400</v>
      </c>
      <c r="S387" s="2" t="n">
        <v>1400000</v>
      </c>
      <c r="T387" s="2" t="n">
        <v>161490</v>
      </c>
      <c r="U387" s="2" t="n">
        <v>4950000</v>
      </c>
      <c r="V387" s="2" t="n">
        <v>3810000</v>
      </c>
      <c r="W387" s="2" t="n">
        <v>313630</v>
      </c>
      <c r="X387" s="2" t="n">
        <v>157930</v>
      </c>
      <c r="Z387" s="2" t="n">
        <v>7400000</v>
      </c>
      <c r="AA387" s="2" t="n">
        <v>46100000</v>
      </c>
      <c r="AB387" s="2" t="n">
        <v>36760000</v>
      </c>
      <c r="AC387" s="2" t="n">
        <v>38350000</v>
      </c>
      <c r="AD387" s="2" t="n">
        <v>2560000</v>
      </c>
      <c r="AE387" s="2" t="n">
        <v>172180</v>
      </c>
      <c r="AF387" s="2" t="n">
        <v>2130000</v>
      </c>
    </row>
    <row r="388" ht="16" customHeight="1">
      <c r="A388" s="2" t="inlineStr">
        <is>
          <t>04/08/2025</t>
        </is>
      </c>
      <c r="B388" s="2" t="n">
        <v>477840</v>
      </c>
      <c r="C388" s="2" t="n">
        <v>325440</v>
      </c>
      <c r="D388" s="2" t="n">
        <v>11800</v>
      </c>
      <c r="E388" s="2" t="n">
        <v>17120000</v>
      </c>
      <c r="F388" s="2" t="n">
        <v>146810</v>
      </c>
      <c r="G388" s="2" t="n"/>
      <c r="H388" s="2" t="n"/>
      <c r="I388" s="2" t="n">
        <v>91130</v>
      </c>
      <c r="J388" s="2" t="n">
        <v>60850000</v>
      </c>
      <c r="K388" s="2" t="n">
        <v>1110000</v>
      </c>
      <c r="L388" s="2" t="n"/>
      <c r="M388" s="2" t="n">
        <v>327670</v>
      </c>
      <c r="N388" s="2" t="n"/>
      <c r="O388" s="2" t="n">
        <v>3450000</v>
      </c>
      <c r="P388" s="2" t="n">
        <v>4400000</v>
      </c>
      <c r="Q388" s="2" t="n">
        <v>59740</v>
      </c>
      <c r="R388" s="2" t="n">
        <v>781980</v>
      </c>
      <c r="S388" s="2" t="n">
        <v>1570000</v>
      </c>
      <c r="T388" s="2" t="n">
        <v>79580</v>
      </c>
      <c r="U388" s="2" t="n">
        <v>6960000</v>
      </c>
      <c r="V388" s="2" t="n">
        <v>3090000</v>
      </c>
      <c r="W388" s="2" t="n">
        <v>462070</v>
      </c>
      <c r="X388" s="2" t="n">
        <v>64239.99999999999</v>
      </c>
      <c r="Z388" s="2" t="n">
        <v>5900000</v>
      </c>
      <c r="AA388" s="2" t="n">
        <v>40100000</v>
      </c>
      <c r="AB388" s="2" t="n">
        <v>35060000</v>
      </c>
      <c r="AC388" s="2" t="n">
        <v>22950000</v>
      </c>
      <c r="AD388" s="2" t="n">
        <v>2730000</v>
      </c>
      <c r="AE388" s="2" t="n">
        <v>93880</v>
      </c>
      <c r="AF388" s="2" t="n">
        <v>990640</v>
      </c>
    </row>
    <row r="389" ht="16" customHeight="1">
      <c r="A389" s="2" t="inlineStr">
        <is>
          <t>04/07/2025</t>
        </is>
      </c>
      <c r="B389" s="2" t="n">
        <v>388290</v>
      </c>
      <c r="C389" s="2" t="n">
        <v>603470</v>
      </c>
      <c r="D389" s="2" t="n">
        <v>28070</v>
      </c>
      <c r="E389" s="2" t="n">
        <v>22560000</v>
      </c>
      <c r="F389" s="2" t="n">
        <v>205580</v>
      </c>
      <c r="G389" s="2" t="n"/>
      <c r="H389" s="2" t="n"/>
      <c r="I389" s="2" t="n">
        <v>233590</v>
      </c>
      <c r="J389" s="2" t="n">
        <v>92800000</v>
      </c>
      <c r="K389" s="2" t="n">
        <v>2500000</v>
      </c>
      <c r="L389" s="2" t="n"/>
      <c r="M389" s="2" t="n">
        <v>480030</v>
      </c>
      <c r="N389" s="2" t="n"/>
      <c r="O389" s="2" t="n">
        <v>8850000</v>
      </c>
      <c r="P389" s="2" t="n">
        <v>4820000</v>
      </c>
      <c r="Q389" s="2" t="n">
        <v>98830</v>
      </c>
      <c r="R389" s="2" t="n">
        <v>603420</v>
      </c>
      <c r="S389" s="2" t="n">
        <v>3300000</v>
      </c>
      <c r="T389" s="2" t="n">
        <v>182280</v>
      </c>
      <c r="U389" s="2" t="n">
        <v>10370000</v>
      </c>
      <c r="V389" s="2" t="n">
        <v>6050000</v>
      </c>
      <c r="W389" s="2" t="n">
        <v>524900</v>
      </c>
      <c r="X389" s="2" t="n">
        <v>87130</v>
      </c>
      <c r="Z389" s="2" t="n">
        <v>11320000</v>
      </c>
      <c r="AA389" s="2" t="n">
        <v>50090000</v>
      </c>
      <c r="AB389" s="2" t="n">
        <v>61070000</v>
      </c>
      <c r="AC389" s="2" t="n">
        <v>28450000</v>
      </c>
      <c r="AD389" s="2" t="n">
        <v>4040000</v>
      </c>
      <c r="AE389" s="2" t="n">
        <v>170570</v>
      </c>
      <c r="AF389" s="2" t="n">
        <v>2350000</v>
      </c>
    </row>
    <row r="390" ht="16" customHeight="1">
      <c r="A390" s="2" t="inlineStr">
        <is>
          <t>04/06/2025</t>
        </is>
      </c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>
        <v>73570000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Z390" s="2" t="n"/>
      <c r="AA390" s="2" t="n"/>
      <c r="AB390" s="2" t="n"/>
      <c r="AC390" s="2" t="n"/>
      <c r="AD390" s="2" t="n"/>
      <c r="AE390" s="2" t="n">
        <v>79170</v>
      </c>
      <c r="AF390" s="2" t="n">
        <v>1080000</v>
      </c>
    </row>
    <row r="391" ht="16" customHeight="1">
      <c r="A391" s="2" t="inlineStr">
        <is>
          <t>04/05/2025</t>
        </is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>
        <v>24040000</v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Z391" s="2" t="n"/>
      <c r="AA391" s="2" t="n"/>
      <c r="AB391" s="2" t="n"/>
      <c r="AC391" s="2" t="n"/>
      <c r="AD391" s="2" t="n"/>
      <c r="AE391" s="2" t="n">
        <v>32710</v>
      </c>
      <c r="AF391" s="2" t="n">
        <v>224660</v>
      </c>
    </row>
    <row r="392" ht="16" customHeight="1">
      <c r="A392" s="2" t="inlineStr">
        <is>
          <t>04/04/2025</t>
        </is>
      </c>
      <c r="B392" s="2" t="n">
        <v>361040</v>
      </c>
      <c r="C392" s="2" t="n">
        <v>600360</v>
      </c>
      <c r="D392" s="2" t="n">
        <v>23620</v>
      </c>
      <c r="E392" s="2" t="n">
        <v>22830000</v>
      </c>
      <c r="F392" s="2" t="n">
        <v>212650</v>
      </c>
      <c r="G392" s="2" t="n"/>
      <c r="H392" s="2" t="n"/>
      <c r="I392" s="2" t="n">
        <v>201710</v>
      </c>
      <c r="J392" s="2" t="n">
        <v>98650000</v>
      </c>
      <c r="K392" s="2" t="n">
        <v>1730000</v>
      </c>
      <c r="L392" s="2" t="n"/>
      <c r="M392" s="2" t="n">
        <v>413090</v>
      </c>
      <c r="N392" s="2" t="n"/>
      <c r="O392" s="2" t="n">
        <v>9090000</v>
      </c>
      <c r="P392" s="2" t="n">
        <v>4940000</v>
      </c>
      <c r="Q392" s="2" t="n">
        <v>36150</v>
      </c>
      <c r="R392" s="2" t="n">
        <v>792920</v>
      </c>
      <c r="S392" s="2" t="n">
        <v>1940000</v>
      </c>
      <c r="T392" s="2" t="n">
        <v>142630</v>
      </c>
      <c r="U392" s="2" t="n">
        <v>8930000</v>
      </c>
      <c r="V392" s="2" t="n">
        <v>3230000</v>
      </c>
      <c r="W392" s="2" t="n">
        <v>319540</v>
      </c>
      <c r="X392" s="2" t="n">
        <v>32240</v>
      </c>
      <c r="Z392" s="2" t="n">
        <v>9260000</v>
      </c>
      <c r="AA392" s="2" t="n">
        <v>45530000</v>
      </c>
      <c r="AB392" s="2" t="n">
        <v>24550000</v>
      </c>
      <c r="AC392" s="2" t="n">
        <v>24850000</v>
      </c>
      <c r="AD392" s="2" t="n">
        <v>4940000</v>
      </c>
      <c r="AE392" s="2" t="n">
        <v>91540</v>
      </c>
      <c r="AF392" s="2" t="n">
        <v>641060</v>
      </c>
    </row>
    <row r="393" ht="16" customHeight="1">
      <c r="A393" s="2" t="inlineStr">
        <is>
          <t>04/03/2025</t>
        </is>
      </c>
      <c r="B393" s="2" t="n">
        <v>364750</v>
      </c>
      <c r="C393" s="2" t="n">
        <v>214190</v>
      </c>
      <c r="D393" s="2" t="n">
        <v>10450</v>
      </c>
      <c r="E393" s="2" t="n">
        <v>13990000</v>
      </c>
      <c r="F393" s="2" t="n">
        <v>145200</v>
      </c>
      <c r="G393" s="2" t="n"/>
      <c r="H393" s="2" t="n"/>
      <c r="I393" s="2" t="n">
        <v>301840</v>
      </c>
      <c r="J393" s="2" t="n">
        <v>85250000</v>
      </c>
      <c r="K393" s="2" t="n">
        <v>1600000</v>
      </c>
      <c r="L393" s="2" t="n"/>
      <c r="M393" s="2" t="n">
        <v>280410</v>
      </c>
      <c r="N393" s="2" t="n"/>
      <c r="O393" s="2" t="n">
        <v>2840000</v>
      </c>
      <c r="P393" s="2" t="n">
        <v>14000000</v>
      </c>
      <c r="Q393" s="2" t="n">
        <v>23030</v>
      </c>
      <c r="R393" s="2" t="n">
        <v>336220</v>
      </c>
      <c r="S393" s="2" t="n">
        <v>2130000</v>
      </c>
      <c r="T393" s="2" t="n">
        <v>147480</v>
      </c>
      <c r="U393" s="2" t="n">
        <v>8310000.000000001</v>
      </c>
      <c r="V393" s="2" t="n">
        <v>2460000</v>
      </c>
      <c r="W393" s="2" t="n">
        <v>175770</v>
      </c>
      <c r="X393" s="2" t="n">
        <v>52920</v>
      </c>
      <c r="Z393" s="2" t="n">
        <v>5100000</v>
      </c>
      <c r="AA393" s="2" t="n">
        <v>30580000</v>
      </c>
      <c r="AB393" s="2" t="n">
        <v>13120000</v>
      </c>
      <c r="AC393" s="2" t="n">
        <v>18220000</v>
      </c>
      <c r="AD393" s="2" t="n">
        <v>2100000</v>
      </c>
      <c r="AE393" s="2" t="n">
        <v>83150</v>
      </c>
      <c r="AF393" s="2" t="n">
        <v>566790</v>
      </c>
    </row>
    <row r="394" ht="16" customHeight="1">
      <c r="A394" s="2" t="inlineStr">
        <is>
          <t>04/02/2025</t>
        </is>
      </c>
      <c r="B394" s="2" t="n">
        <v>324720</v>
      </c>
      <c r="C394" s="2" t="n">
        <v>179690</v>
      </c>
      <c r="D394" s="2" t="n">
        <v>9260</v>
      </c>
      <c r="E394" s="2" t="n">
        <v>10660000</v>
      </c>
      <c r="F394" s="2" t="n">
        <v>108320</v>
      </c>
      <c r="G394" s="2" t="n"/>
      <c r="H394" s="2" t="n"/>
      <c r="I394" s="2" t="n">
        <v>165260</v>
      </c>
      <c r="J394" s="2" t="n">
        <v>78890000</v>
      </c>
      <c r="K394" s="2" t="n">
        <v>1440000</v>
      </c>
      <c r="L394" s="2" t="n"/>
      <c r="M394" s="2" t="n">
        <v>224780</v>
      </c>
      <c r="N394" s="2" t="n"/>
      <c r="O394" s="2" t="n">
        <v>2240000</v>
      </c>
      <c r="P394" s="2" t="n">
        <v>1590000</v>
      </c>
      <c r="Q394" s="2" t="n">
        <v>32540</v>
      </c>
      <c r="R394" s="2" t="n">
        <v>252230</v>
      </c>
      <c r="S394" s="2" t="n">
        <v>1240000</v>
      </c>
      <c r="T394" s="2" t="n">
        <v>133280</v>
      </c>
      <c r="U394" s="2" t="n">
        <v>6370000</v>
      </c>
      <c r="V394" s="2" t="n">
        <v>1090000</v>
      </c>
      <c r="W394" s="2" t="n">
        <v>186150</v>
      </c>
      <c r="X394" s="2" t="n">
        <v>35230</v>
      </c>
      <c r="Z394" s="2" t="n">
        <v>2410000</v>
      </c>
      <c r="AA394" s="2" t="n">
        <v>11920000</v>
      </c>
      <c r="AB394" s="2" t="n">
        <v>17440000</v>
      </c>
      <c r="AC394" s="2" t="n">
        <v>16290000</v>
      </c>
      <c r="AD394" s="2" t="n">
        <v>750610</v>
      </c>
      <c r="AE394" s="2" t="n">
        <v>104050</v>
      </c>
      <c r="AF394" s="2" t="n">
        <v>821610</v>
      </c>
    </row>
    <row r="395" ht="16" customHeight="1">
      <c r="A395" s="2" t="inlineStr">
        <is>
          <t>04/01/2025</t>
        </is>
      </c>
      <c r="B395" s="2" t="n">
        <v>323450</v>
      </c>
      <c r="C395" s="2" t="n">
        <v>168630</v>
      </c>
      <c r="D395" s="2" t="n">
        <v>10510</v>
      </c>
      <c r="E395" s="2" t="n">
        <v>21030000</v>
      </c>
      <c r="F395" s="2" t="n">
        <v>289140</v>
      </c>
      <c r="G395" s="2" t="n"/>
      <c r="H395" s="2" t="n"/>
      <c r="I395" s="2" t="n">
        <v>244740</v>
      </c>
      <c r="J395" s="2" t="n">
        <v>75120000</v>
      </c>
      <c r="K395" s="2" t="n">
        <v>2320000</v>
      </c>
      <c r="L395" s="2" t="n"/>
      <c r="M395" s="2" t="n">
        <v>178230</v>
      </c>
      <c r="N395" s="2" t="n"/>
      <c r="O395" s="2" t="n">
        <v>2510000</v>
      </c>
      <c r="P395" s="2" t="n">
        <v>3380000</v>
      </c>
      <c r="Q395" s="2" t="n">
        <v>12640</v>
      </c>
      <c r="R395" s="2" t="n">
        <v>606450</v>
      </c>
      <c r="S395" s="2" t="n">
        <v>1970000</v>
      </c>
      <c r="T395" s="2" t="n">
        <v>114860</v>
      </c>
      <c r="U395" s="2" t="n">
        <v>4950000</v>
      </c>
      <c r="V395" s="2" t="n">
        <v>1930000</v>
      </c>
      <c r="W395" s="2" t="n">
        <v>236030</v>
      </c>
      <c r="X395" s="2" t="n">
        <v>40900</v>
      </c>
      <c r="Z395" s="2" t="n">
        <v>2450000</v>
      </c>
      <c r="AA395" s="2" t="n">
        <v>14700000</v>
      </c>
      <c r="AB395" s="2" t="n">
        <v>9560000</v>
      </c>
      <c r="AC395" s="2" t="n">
        <v>16780000</v>
      </c>
      <c r="AD395" s="2" t="n">
        <v>852630</v>
      </c>
      <c r="AE395" s="2" t="n">
        <v>66720</v>
      </c>
      <c r="AF395" s="2" t="n">
        <v>499060</v>
      </c>
    </row>
    <row r="396" ht="16" customHeight="1">
      <c r="A396" s="2" t="inlineStr">
        <is>
          <t>03/31/2025</t>
        </is>
      </c>
      <c r="B396" s="2" t="n">
        <v>34420</v>
      </c>
      <c r="C396" s="2" t="n">
        <v>283680</v>
      </c>
      <c r="D396" s="2" t="n">
        <v>18220</v>
      </c>
      <c r="E396" s="2" t="n">
        <v>18210000</v>
      </c>
      <c r="F396" s="2" t="n">
        <v>298940</v>
      </c>
      <c r="G396" s="2" t="n"/>
      <c r="H396" s="2" t="n"/>
      <c r="I396" s="2" t="n">
        <v>1840000</v>
      </c>
      <c r="J396" s="2" t="n">
        <v>49110000</v>
      </c>
      <c r="K396" s="2" t="n">
        <v>2800000</v>
      </c>
      <c r="L396" s="2" t="n"/>
      <c r="M396" s="2" t="n">
        <v>179470</v>
      </c>
      <c r="N396" s="2" t="n"/>
      <c r="O396" s="2" t="n">
        <v>2620000</v>
      </c>
      <c r="P396" s="2" t="n">
        <v>1730000</v>
      </c>
      <c r="Q396" s="2" t="n">
        <v>46660</v>
      </c>
      <c r="R396" s="2" t="n">
        <v>439670</v>
      </c>
      <c r="S396" s="2" t="n">
        <v>1340000</v>
      </c>
      <c r="T396" s="2" t="n">
        <v>64150.00000000001</v>
      </c>
      <c r="U396" s="2" t="n">
        <v>4780000</v>
      </c>
      <c r="V396" s="2" t="n">
        <v>2400000</v>
      </c>
      <c r="W396" s="2" t="n">
        <v>197580</v>
      </c>
      <c r="X396" s="2" t="n">
        <v>73310</v>
      </c>
      <c r="Z396" s="2" t="n">
        <v>2540000</v>
      </c>
      <c r="AA396" s="2" t="n">
        <v>19020000</v>
      </c>
      <c r="AB396" s="2" t="n">
        <v>12800000</v>
      </c>
      <c r="AC396" s="2" t="n">
        <v>14870000</v>
      </c>
      <c r="AD396" s="2" t="n">
        <v>1320000</v>
      </c>
      <c r="AE396" s="2" t="n">
        <v>61760</v>
      </c>
      <c r="AF396" s="2" t="n">
        <v>558430</v>
      </c>
    </row>
    <row r="397" ht="16" customHeight="1">
      <c r="A397" s="2" t="inlineStr">
        <is>
          <t>03/30/2025</t>
        </is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>
        <v>31730000</v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Z397" s="2" t="n"/>
      <c r="AA397" s="2" t="n"/>
      <c r="AB397" s="2" t="n"/>
      <c r="AC397" s="2" t="n"/>
      <c r="AD397" s="2" t="n"/>
      <c r="AE397" s="2" t="n">
        <v>35370</v>
      </c>
      <c r="AF397" s="2" t="n">
        <v>371080</v>
      </c>
    </row>
    <row r="398" ht="16" customHeight="1">
      <c r="A398" s="2" t="inlineStr">
        <is>
          <t>03/29/2025</t>
        </is>
      </c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>
        <v>37040000</v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Z398" s="2" t="n"/>
      <c r="AA398" s="2" t="n"/>
      <c r="AB398" s="2" t="n"/>
      <c r="AC398" s="2" t="n"/>
      <c r="AD398" s="2" t="n"/>
      <c r="AE398" s="2" t="n">
        <v>39340</v>
      </c>
      <c r="AF398" s="2" t="n">
        <v>455600</v>
      </c>
    </row>
    <row r="399" ht="16" customHeight="1">
      <c r="A399" s="2" t="inlineStr">
        <is>
          <t>03/28/2025</t>
        </is>
      </c>
      <c r="B399" s="2" t="n">
        <v>356750</v>
      </c>
      <c r="C399" s="2" t="n">
        <v>170990</v>
      </c>
      <c r="D399" s="2" t="n">
        <v>12180</v>
      </c>
      <c r="E399" s="2" t="n">
        <v>11750000</v>
      </c>
      <c r="F399" s="2" t="n">
        <v>196480</v>
      </c>
      <c r="G399" s="2" t="n"/>
      <c r="H399" s="2" t="n"/>
      <c r="I399" s="2" t="n">
        <v>98870</v>
      </c>
      <c r="J399" s="2" t="n">
        <v>83060000</v>
      </c>
      <c r="K399" s="2" t="n">
        <v>1490000</v>
      </c>
      <c r="L399" s="2" t="n"/>
      <c r="M399" s="2" t="n">
        <v>186840</v>
      </c>
      <c r="N399" s="2" t="n"/>
      <c r="O399" s="2" t="n">
        <v>2130000</v>
      </c>
      <c r="P399" s="2" t="n">
        <v>1470000</v>
      </c>
      <c r="Q399" s="2" t="n">
        <v>7540</v>
      </c>
      <c r="R399" s="2" t="n">
        <v>538810</v>
      </c>
      <c r="S399" s="2" t="n">
        <v>1870000</v>
      </c>
      <c r="T399" s="2" t="n">
        <v>26170</v>
      </c>
      <c r="U399" s="2" t="n">
        <v>6790000</v>
      </c>
      <c r="V399" s="2" t="n">
        <v>980700</v>
      </c>
      <c r="W399" s="2" t="n">
        <v>158050</v>
      </c>
      <c r="X399" s="2" t="n">
        <v>164150</v>
      </c>
      <c r="Z399" s="2" t="n">
        <v>2570000</v>
      </c>
      <c r="AA399" s="2" t="n">
        <v>15660000</v>
      </c>
      <c r="AB399" s="2" t="n">
        <v>11660000</v>
      </c>
      <c r="AC399" s="2" t="n">
        <v>21060000</v>
      </c>
      <c r="AD399" s="2" t="n">
        <v>1030000</v>
      </c>
      <c r="AE399" s="2" t="n">
        <v>85250</v>
      </c>
      <c r="AF399" s="2" t="n">
        <v>694860</v>
      </c>
    </row>
    <row r="400" ht="16" customHeight="1">
      <c r="A400" s="2" t="inlineStr">
        <is>
          <t>03/27/2025</t>
        </is>
      </c>
      <c r="B400" s="2" t="n">
        <v>372250</v>
      </c>
      <c r="C400" s="2" t="n">
        <v>239320</v>
      </c>
      <c r="D400" s="2" t="n">
        <v>17030</v>
      </c>
      <c r="E400" s="2" t="n">
        <v>10020000</v>
      </c>
      <c r="F400" s="2" t="n">
        <v>146140</v>
      </c>
      <c r="G400" s="2" t="n"/>
      <c r="H400" s="2" t="n"/>
      <c r="I400" s="2" t="n">
        <v>254800</v>
      </c>
      <c r="J400" s="2" t="n">
        <v>48040000</v>
      </c>
      <c r="K400" s="2" t="n">
        <v>814590</v>
      </c>
      <c r="L400" s="2" t="n"/>
      <c r="M400" s="2" t="n">
        <v>60770</v>
      </c>
      <c r="N400" s="2" t="n"/>
      <c r="O400" s="2" t="n">
        <v>1380000</v>
      </c>
      <c r="P400" s="2" t="n">
        <v>915140</v>
      </c>
      <c r="Q400" s="2" t="n">
        <v>20460</v>
      </c>
      <c r="R400" s="2" t="n">
        <v>328090</v>
      </c>
      <c r="S400" s="2" t="n">
        <v>4380000</v>
      </c>
      <c r="T400" s="2" t="n">
        <v>7120</v>
      </c>
      <c r="U400" s="2" t="n">
        <v>11490000</v>
      </c>
      <c r="V400" s="2" t="n">
        <v>1830000</v>
      </c>
      <c r="W400" s="2" t="n">
        <v>197290</v>
      </c>
      <c r="X400" s="2" t="n">
        <v>39260</v>
      </c>
      <c r="Z400" s="2" t="n">
        <v>2510000</v>
      </c>
      <c r="AA400" s="2" t="n">
        <v>11450000</v>
      </c>
      <c r="AB400" s="2" t="n">
        <v>21850000</v>
      </c>
      <c r="AC400" s="2" t="n">
        <v>13840000</v>
      </c>
      <c r="AD400" s="2" t="n">
        <v>669630</v>
      </c>
      <c r="AE400" s="2" t="n">
        <v>56490</v>
      </c>
      <c r="AF400" s="2" t="n">
        <v>396460</v>
      </c>
    </row>
    <row r="401" ht="16" customHeight="1">
      <c r="A401" s="2" t="inlineStr">
        <is>
          <t>03/26/2025</t>
        </is>
      </c>
      <c r="B401" s="2" t="n">
        <v>334510</v>
      </c>
      <c r="C401" s="2" t="n">
        <v>197550</v>
      </c>
      <c r="D401" s="2" t="n">
        <v>7010</v>
      </c>
      <c r="E401" s="2" t="n">
        <v>12320000</v>
      </c>
      <c r="F401" s="2" t="n">
        <v>149180</v>
      </c>
      <c r="G401" s="2" t="n"/>
      <c r="H401" s="2" t="n"/>
      <c r="I401" s="2" t="n">
        <v>494850</v>
      </c>
      <c r="J401" s="2" t="n">
        <v>63140000</v>
      </c>
      <c r="K401" s="2" t="n">
        <v>664100</v>
      </c>
      <c r="L401" s="2" t="n"/>
      <c r="M401" s="2" t="n">
        <v>237640</v>
      </c>
      <c r="N401" s="2" t="n"/>
      <c r="O401" s="2" t="n">
        <v>2060000</v>
      </c>
      <c r="P401" s="2" t="n">
        <v>830320</v>
      </c>
      <c r="Q401" s="2" t="n">
        <v>14980</v>
      </c>
      <c r="R401" s="2" t="n">
        <v>396490</v>
      </c>
      <c r="S401" s="2" t="n">
        <v>2480000</v>
      </c>
      <c r="T401" s="2" t="n">
        <v>23930</v>
      </c>
      <c r="U401" s="2" t="n">
        <v>7900000</v>
      </c>
      <c r="V401" s="2" t="n">
        <v>1660000</v>
      </c>
      <c r="W401" s="2" t="n">
        <v>278070</v>
      </c>
      <c r="X401" s="2" t="n">
        <v>72760</v>
      </c>
      <c r="Z401" s="2" t="n">
        <v>1600000</v>
      </c>
      <c r="AA401" s="2" t="n">
        <v>17420000</v>
      </c>
      <c r="AB401" s="2" t="n">
        <v>6830000</v>
      </c>
      <c r="AC401" s="2" t="n">
        <v>16800000</v>
      </c>
      <c r="AD401" s="2" t="n">
        <v>828240</v>
      </c>
      <c r="AE401" s="2" t="n">
        <v>62040</v>
      </c>
      <c r="AF401" s="2" t="n">
        <v>474960</v>
      </c>
    </row>
    <row r="402" ht="16" customHeight="1">
      <c r="A402" s="2" t="inlineStr">
        <is>
          <t>03/25/2025</t>
        </is>
      </c>
      <c r="B402" s="2" t="n">
        <v>330180</v>
      </c>
      <c r="C402" s="2" t="n">
        <v>260840</v>
      </c>
      <c r="D402" s="2" t="n">
        <v>12240</v>
      </c>
      <c r="E402" s="2" t="n">
        <v>13840000</v>
      </c>
      <c r="F402" s="2" t="n">
        <v>377540</v>
      </c>
      <c r="G402" s="2" t="n"/>
      <c r="H402" s="2" t="n"/>
      <c r="I402" s="2" t="n">
        <v>221220</v>
      </c>
      <c r="J402" s="2" t="n">
        <v>47290000</v>
      </c>
      <c r="K402" s="2" t="n">
        <v>830900</v>
      </c>
      <c r="L402" s="2" t="n"/>
      <c r="M402" s="2" t="n">
        <v>128210</v>
      </c>
      <c r="N402" s="2" t="n"/>
      <c r="O402" s="2" t="n">
        <v>1230000</v>
      </c>
      <c r="P402" s="2" t="n">
        <v>1500000</v>
      </c>
      <c r="Q402" s="2" t="n">
        <v>13640</v>
      </c>
      <c r="R402" s="2" t="n">
        <v>391500</v>
      </c>
      <c r="S402" s="2" t="n">
        <v>1100000</v>
      </c>
      <c r="T402" s="2" t="n">
        <v>182960</v>
      </c>
      <c r="U402" s="2" t="n">
        <v>12510000</v>
      </c>
      <c r="V402" s="2" t="n">
        <v>2750000</v>
      </c>
      <c r="W402" s="2" t="n">
        <v>248180</v>
      </c>
      <c r="X402" s="2" t="n">
        <v>40040</v>
      </c>
      <c r="Z402" s="2" t="n">
        <v>1710000</v>
      </c>
      <c r="AA402" s="2" t="n">
        <v>16460000</v>
      </c>
      <c r="AB402" s="2" t="n">
        <v>9870000</v>
      </c>
      <c r="AC402" s="2" t="n">
        <v>15050000</v>
      </c>
      <c r="AD402" s="2" t="n">
        <v>618030</v>
      </c>
      <c r="AE402" s="2" t="n">
        <v>75240</v>
      </c>
      <c r="AF402" s="2" t="n">
        <v>364910</v>
      </c>
    </row>
    <row r="403" ht="16" customHeight="1">
      <c r="A403" s="2" t="inlineStr">
        <is>
          <t>03/24/2025</t>
        </is>
      </c>
      <c r="B403" s="2" t="n">
        <v>350920</v>
      </c>
      <c r="C403" s="2" t="n">
        <v>208220</v>
      </c>
      <c r="D403" s="2" t="n">
        <v>10500</v>
      </c>
      <c r="E403" s="2" t="n">
        <v>13850000</v>
      </c>
      <c r="F403" s="2" t="n">
        <v>551600</v>
      </c>
      <c r="G403" s="2" t="n"/>
      <c r="H403" s="2" t="n"/>
      <c r="I403" s="2" t="n">
        <v>421330</v>
      </c>
      <c r="J403" s="2" t="n">
        <v>53620000</v>
      </c>
      <c r="K403" s="2" t="n">
        <v>991420</v>
      </c>
      <c r="L403" s="2" t="n"/>
      <c r="M403" s="2" t="n">
        <v>131860</v>
      </c>
      <c r="N403" s="2" t="n"/>
      <c r="O403" s="2" t="n">
        <v>1970000</v>
      </c>
      <c r="P403" s="2" t="n">
        <v>1280000</v>
      </c>
      <c r="Q403" s="2" t="n">
        <v>19590</v>
      </c>
      <c r="R403" s="2" t="n">
        <v>358580</v>
      </c>
      <c r="S403" s="2" t="n">
        <v>1350000</v>
      </c>
      <c r="T403" s="2" t="n">
        <v>72630</v>
      </c>
      <c r="U403" s="2" t="n">
        <v>25350000</v>
      </c>
      <c r="V403" s="2" t="n">
        <v>1700000</v>
      </c>
      <c r="W403" s="2" t="n">
        <v>203090</v>
      </c>
      <c r="X403" s="2" t="n">
        <v>14810</v>
      </c>
      <c r="Z403" s="2" t="n">
        <v>1730000</v>
      </c>
      <c r="AA403" s="2" t="n">
        <v>15450000</v>
      </c>
      <c r="AB403" s="2" t="n">
        <v>7830000</v>
      </c>
      <c r="AC403" s="2" t="n">
        <v>23100000</v>
      </c>
      <c r="AD403" s="2" t="n">
        <v>781200</v>
      </c>
      <c r="AE403" s="2" t="n">
        <v>95710</v>
      </c>
      <c r="AF403" s="2" t="n">
        <v>528630</v>
      </c>
    </row>
    <row r="404" ht="16" customHeight="1">
      <c r="A404" s="2" t="inlineStr">
        <is>
          <t>03/23/2025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>
        <v>48170000</v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Z404" s="2" t="n"/>
      <c r="AA404" s="2" t="n"/>
      <c r="AB404" s="2" t="n"/>
      <c r="AC404" s="2" t="n"/>
      <c r="AD404" s="2" t="n"/>
      <c r="AE404" s="2" t="n">
        <v>31130</v>
      </c>
      <c r="AF404" s="2" t="n">
        <v>296950</v>
      </c>
    </row>
    <row r="405" ht="16" customHeight="1">
      <c r="A405" s="2" t="inlineStr">
        <is>
          <t>03/22/2025</t>
        </is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>
        <v>50390000</v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Z405" s="2" t="n"/>
      <c r="AA405" s="2" t="n"/>
      <c r="AB405" s="2" t="n"/>
      <c r="AC405" s="2" t="n"/>
      <c r="AD405" s="2" t="n"/>
      <c r="AE405" s="2" t="n">
        <v>20840</v>
      </c>
      <c r="AF405" s="2" t="n">
        <v>185640</v>
      </c>
    </row>
    <row r="406" ht="16" customHeight="1">
      <c r="A406" s="2" t="inlineStr">
        <is>
          <t>03/21/2025</t>
        </is>
      </c>
      <c r="B406" s="2" t="n">
        <v>382330</v>
      </c>
      <c r="C406" s="2" t="n">
        <v>178970</v>
      </c>
      <c r="D406" s="2" t="n">
        <v>9910</v>
      </c>
      <c r="E406" s="2" t="n">
        <v>13100000</v>
      </c>
      <c r="F406" s="2" t="n">
        <v>749550</v>
      </c>
      <c r="G406" s="2" t="n"/>
      <c r="H406" s="2" t="n"/>
      <c r="I406" s="2" t="n"/>
      <c r="J406" s="2" t="n">
        <v>63620000</v>
      </c>
      <c r="K406" s="2" t="n">
        <v>1060000</v>
      </c>
      <c r="L406" s="2" t="n"/>
      <c r="M406" s="2" t="n">
        <v>106940</v>
      </c>
      <c r="N406" s="2" t="n"/>
      <c r="O406" s="2" t="n">
        <v>1580000</v>
      </c>
      <c r="P406" s="2" t="n">
        <v>948690</v>
      </c>
      <c r="Q406" s="2" t="n">
        <v>9400</v>
      </c>
      <c r="R406" s="2" t="n">
        <v>592640</v>
      </c>
      <c r="S406" s="2" t="n">
        <v>1780000</v>
      </c>
      <c r="T406" s="2" t="n">
        <v>11580</v>
      </c>
      <c r="U406" s="2" t="n">
        <v>12260000</v>
      </c>
      <c r="V406" s="2" t="n">
        <v>2790000</v>
      </c>
      <c r="W406" s="2" t="n">
        <v>170680</v>
      </c>
      <c r="X406" s="2" t="n">
        <v>49350</v>
      </c>
      <c r="Z406" s="2" t="n">
        <v>2210000</v>
      </c>
      <c r="AA406" s="2" t="n">
        <v>16880000</v>
      </c>
      <c r="AB406" s="2" t="n">
        <v>6520000</v>
      </c>
      <c r="AC406" s="2" t="n">
        <v>21770000</v>
      </c>
      <c r="AD406" s="2" t="n">
        <v>803000</v>
      </c>
      <c r="AE406" s="2" t="n">
        <v>42800</v>
      </c>
      <c r="AF406" s="2" t="n">
        <v>291890</v>
      </c>
    </row>
    <row r="407" ht="16" customHeight="1">
      <c r="A407" s="2" t="inlineStr">
        <is>
          <t>03/20/2025</t>
        </is>
      </c>
      <c r="B407" s="2" t="n">
        <v>385440</v>
      </c>
      <c r="C407" s="2" t="n">
        <v>232830</v>
      </c>
      <c r="D407" s="2" t="n">
        <v>8710</v>
      </c>
      <c r="E407" s="2" t="n">
        <v>12650000</v>
      </c>
      <c r="F407" s="2" t="n">
        <v>494170</v>
      </c>
      <c r="G407" s="2" t="n"/>
      <c r="H407" s="2" t="n"/>
      <c r="I407" s="2" t="n"/>
      <c r="J407" s="2" t="n">
        <v>96440000</v>
      </c>
      <c r="K407" s="2" t="n">
        <v>1200000</v>
      </c>
      <c r="L407" s="2" t="n"/>
      <c r="M407" s="2" t="n">
        <v>131630</v>
      </c>
      <c r="N407" s="2" t="n"/>
      <c r="O407" s="2" t="n">
        <v>1800000</v>
      </c>
      <c r="P407" s="2" t="n">
        <v>1070000</v>
      </c>
      <c r="Q407" s="2" t="n">
        <v>14760</v>
      </c>
      <c r="R407" s="2" t="n">
        <v>516690.0000000001</v>
      </c>
      <c r="S407" s="2" t="n">
        <v>499470</v>
      </c>
      <c r="T407" s="2" t="n">
        <v>8960</v>
      </c>
      <c r="U407" s="2" t="n">
        <v>13260000</v>
      </c>
      <c r="V407" s="2" t="n">
        <v>1770000</v>
      </c>
      <c r="W407" s="2" t="n">
        <v>171820</v>
      </c>
      <c r="X407" s="2" t="n">
        <v>55660</v>
      </c>
      <c r="Z407" s="2" t="n">
        <v>1800000</v>
      </c>
      <c r="AA407" s="2" t="n">
        <v>11320000</v>
      </c>
      <c r="AB407" s="2" t="n">
        <v>8440000</v>
      </c>
      <c r="AC407" s="2" t="n">
        <v>15060000</v>
      </c>
      <c r="AD407" s="2" t="n">
        <v>701110</v>
      </c>
      <c r="AE407" s="2" t="n">
        <v>69860</v>
      </c>
      <c r="AF407" s="2" t="n">
        <v>433710</v>
      </c>
    </row>
    <row r="408" ht="16" customHeight="1">
      <c r="A408" s="2" t="inlineStr">
        <is>
          <t>03/19/2025</t>
        </is>
      </c>
      <c r="B408" s="2" t="n">
        <v>271290</v>
      </c>
      <c r="C408" s="2" t="n">
        <v>260860</v>
      </c>
      <c r="D408" s="2" t="n">
        <v>10730</v>
      </c>
      <c r="E408" s="2" t="n">
        <v>13580000</v>
      </c>
      <c r="F408" s="2" t="n">
        <v>501480</v>
      </c>
      <c r="G408" s="2" t="n"/>
      <c r="H408" s="2" t="n"/>
      <c r="I408" s="2" t="n"/>
      <c r="J408" s="2" t="n">
        <v>87080000</v>
      </c>
      <c r="K408" s="2" t="n">
        <v>1400000</v>
      </c>
      <c r="L408" s="2" t="n"/>
      <c r="M408" s="2" t="n">
        <v>87780</v>
      </c>
      <c r="N408" s="2" t="n"/>
      <c r="O408" s="2" t="n">
        <v>1580000</v>
      </c>
      <c r="P408" s="2" t="n">
        <v>1550000</v>
      </c>
      <c r="Q408" s="2" t="n">
        <v>9280</v>
      </c>
      <c r="R408" s="2" t="n">
        <v>229060</v>
      </c>
      <c r="S408" s="2" t="n">
        <v>875370</v>
      </c>
      <c r="T408" s="2" t="n">
        <v>25110</v>
      </c>
      <c r="U408" s="2" t="n">
        <v>13840000</v>
      </c>
      <c r="V408" s="2" t="n">
        <v>1780000</v>
      </c>
      <c r="W408" s="2" t="n">
        <v>156320</v>
      </c>
      <c r="X408" s="2" t="n">
        <v>46740</v>
      </c>
      <c r="Z408" s="2" t="n">
        <v>1630000</v>
      </c>
      <c r="AA408" s="2" t="n">
        <v>13080000</v>
      </c>
      <c r="AB408" s="2" t="n">
        <v>17010000</v>
      </c>
      <c r="AC408" s="2" t="n">
        <v>19380000</v>
      </c>
      <c r="AD408" s="2" t="n">
        <v>709620</v>
      </c>
      <c r="AE408" s="2" t="n">
        <v>84610</v>
      </c>
      <c r="AF408" s="2" t="n">
        <v>743840</v>
      </c>
    </row>
    <row r="409" ht="16" customHeight="1">
      <c r="A409" s="2" t="inlineStr">
        <is>
          <t>03/18/2025</t>
        </is>
      </c>
      <c r="B409" s="2" t="n">
        <v>267520</v>
      </c>
      <c r="C409" s="2" t="n">
        <v>188780</v>
      </c>
      <c r="D409" s="2" t="n">
        <v>11960</v>
      </c>
      <c r="E409" s="2" t="n">
        <v>9210000</v>
      </c>
      <c r="F409" s="2" t="n">
        <v>284420</v>
      </c>
      <c r="G409" s="2" t="n"/>
      <c r="H409" s="2" t="n"/>
      <c r="I409" s="2" t="n"/>
      <c r="J409" s="2" t="n">
        <v>62970000</v>
      </c>
      <c r="K409" s="2" t="n">
        <v>1080000</v>
      </c>
      <c r="L409" s="2" t="n"/>
      <c r="M409" s="2" t="n">
        <v>80850</v>
      </c>
      <c r="N409" s="2" t="n"/>
      <c r="O409" s="2" t="n">
        <v>1690000</v>
      </c>
      <c r="P409" s="2" t="n">
        <v>748150</v>
      </c>
      <c r="Q409" s="2" t="n">
        <v>19510</v>
      </c>
      <c r="R409" s="2" t="n">
        <v>198390</v>
      </c>
      <c r="S409" s="2" t="n">
        <v>1410000</v>
      </c>
      <c r="T409" s="2" t="n">
        <v>19850</v>
      </c>
      <c r="U409" s="2" t="n">
        <v>15940000</v>
      </c>
      <c r="V409" s="2" t="n">
        <v>1830000</v>
      </c>
      <c r="W409" s="2" t="n">
        <v>230900</v>
      </c>
      <c r="X409" s="2" t="n">
        <v>57890</v>
      </c>
      <c r="Z409" s="2" t="n">
        <v>1490000</v>
      </c>
      <c r="AA409" s="2" t="n">
        <v>12630000</v>
      </c>
      <c r="AB409" s="2" t="n">
        <v>7940000</v>
      </c>
      <c r="AC409" s="2" t="n">
        <v>15400000</v>
      </c>
      <c r="AD409" s="2" t="n">
        <v>669350</v>
      </c>
      <c r="AE409" s="2" t="n">
        <v>58170</v>
      </c>
      <c r="AF409" s="2" t="n">
        <v>353900</v>
      </c>
    </row>
    <row r="410" ht="16" customHeight="1">
      <c r="A410" s="2" t="inlineStr">
        <is>
          <t>03/17/2025</t>
        </is>
      </c>
      <c r="B410" s="2" t="n">
        <v>279570</v>
      </c>
      <c r="C410" s="2" t="n">
        <v>291710</v>
      </c>
      <c r="D410" s="2" t="n">
        <v>13840</v>
      </c>
      <c r="E410" s="2" t="n">
        <v>9020000</v>
      </c>
      <c r="F410" s="2" t="n">
        <v>138250</v>
      </c>
      <c r="G410" s="2" t="n"/>
      <c r="H410" s="2" t="n"/>
      <c r="I410" s="2" t="n"/>
      <c r="J410" s="2" t="n">
        <v>55920000</v>
      </c>
      <c r="K410" s="2" t="n">
        <v>1030000</v>
      </c>
      <c r="L410" s="2" t="n"/>
      <c r="M410" s="2" t="n">
        <v>134800</v>
      </c>
      <c r="N410" s="2" t="n"/>
      <c r="O410" s="2" t="n">
        <v>1710000</v>
      </c>
      <c r="P410" s="2" t="n">
        <v>1020000</v>
      </c>
      <c r="Q410" s="2" t="n">
        <v>25710</v>
      </c>
      <c r="R410" s="2" t="n">
        <v>209660</v>
      </c>
      <c r="S410" s="2" t="n">
        <v>1250000</v>
      </c>
      <c r="T410" s="2" t="n">
        <v>29940</v>
      </c>
      <c r="U410" s="2" t="n">
        <v>10530000</v>
      </c>
      <c r="V410" s="2" t="n">
        <v>2160000</v>
      </c>
      <c r="W410" s="2" t="n">
        <v>235830</v>
      </c>
      <c r="X410" s="2" t="n">
        <v>61320</v>
      </c>
      <c r="Z410" s="2" t="n">
        <v>2280000</v>
      </c>
      <c r="AA410" s="2" t="n">
        <v>16050000</v>
      </c>
      <c r="AB410" s="2" t="n">
        <v>8359999.999999999</v>
      </c>
      <c r="AC410" s="2" t="n">
        <v>13000000</v>
      </c>
      <c r="AD410" s="2" t="n">
        <v>955400</v>
      </c>
      <c r="AE410" s="2" t="n">
        <v>58040</v>
      </c>
      <c r="AF410" s="2" t="n">
        <v>362870</v>
      </c>
    </row>
    <row r="411" ht="16" customHeight="1">
      <c r="A411" s="2" t="inlineStr">
        <is>
          <t>03/16/2025</t>
        </is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>
        <v>35510000</v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Z411" s="2" t="n"/>
      <c r="AA411" s="2" t="n"/>
      <c r="AB411" s="2" t="n"/>
      <c r="AC411" s="2" t="n"/>
      <c r="AD411" s="2" t="n"/>
      <c r="AE411" s="2" t="n">
        <v>50040</v>
      </c>
      <c r="AF411" s="2" t="n">
        <v>353240</v>
      </c>
    </row>
    <row r="412" ht="16" customHeight="1">
      <c r="A412" s="2" t="inlineStr">
        <is>
          <t>03/15/2025</t>
        </is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>
        <v>25830000</v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Z412" s="2" t="n"/>
      <c r="AA412" s="2" t="n"/>
      <c r="AB412" s="2" t="n"/>
      <c r="AC412" s="2" t="n"/>
      <c r="AD412" s="2" t="n"/>
      <c r="AE412" s="2" t="n">
        <v>38400</v>
      </c>
      <c r="AF412" s="2" t="n">
        <v>225980</v>
      </c>
    </row>
    <row r="413" ht="16" customHeight="1">
      <c r="A413" s="2" t="inlineStr">
        <is>
          <t>03/14/2025</t>
        </is>
      </c>
      <c r="B413" s="2" t="n">
        <v>416270</v>
      </c>
      <c r="C413" s="2" t="n">
        <v>161290</v>
      </c>
      <c r="D413" s="2" t="n">
        <v>9730</v>
      </c>
      <c r="E413" s="2" t="n">
        <v>11420000</v>
      </c>
      <c r="F413" s="2" t="n">
        <v>329290</v>
      </c>
      <c r="G413" s="2" t="n"/>
      <c r="H413" s="2" t="n"/>
      <c r="I413" s="2" t="n"/>
      <c r="J413" s="2" t="n">
        <v>66800000</v>
      </c>
      <c r="K413" s="2" t="n">
        <v>1630000</v>
      </c>
      <c r="L413" s="2" t="n"/>
      <c r="M413" s="2" t="n">
        <v>122960</v>
      </c>
      <c r="N413" s="2" t="n"/>
      <c r="O413" s="2" t="n">
        <v>2620000</v>
      </c>
      <c r="P413" s="2" t="n">
        <v>2140000</v>
      </c>
      <c r="Q413" s="2" t="n">
        <v>17400</v>
      </c>
      <c r="R413" s="2" t="n">
        <v>112880</v>
      </c>
      <c r="S413" s="2" t="n">
        <v>939460</v>
      </c>
      <c r="T413" s="2" t="n">
        <v>191180</v>
      </c>
      <c r="U413" s="2" t="n">
        <v>6010000</v>
      </c>
      <c r="V413" s="2" t="n">
        <v>1330000</v>
      </c>
      <c r="W413" s="2" t="n">
        <v>181190</v>
      </c>
      <c r="X413" s="2" t="n">
        <v>69450</v>
      </c>
      <c r="Z413" s="2" t="n">
        <v>2110000</v>
      </c>
      <c r="AA413" s="2" t="n">
        <v>15170000</v>
      </c>
      <c r="AB413" s="2" t="n">
        <v>5710000</v>
      </c>
      <c r="AC413" s="2" t="n">
        <v>23710000</v>
      </c>
      <c r="AD413" s="2" t="n">
        <v>915760</v>
      </c>
      <c r="AE413" s="2" t="n">
        <v>81230</v>
      </c>
      <c r="AF413" s="2" t="n">
        <v>405340</v>
      </c>
    </row>
    <row r="414" ht="16" customHeight="1">
      <c r="A414" s="2" t="inlineStr">
        <is>
          <t>03/13/2025</t>
        </is>
      </c>
      <c r="B414" s="2" t="n">
        <v>310320</v>
      </c>
      <c r="C414" s="2" t="n">
        <v>192950</v>
      </c>
      <c r="D414" s="2" t="n">
        <v>12680</v>
      </c>
      <c r="E414" s="2" t="n">
        <v>13110000</v>
      </c>
      <c r="F414" s="2" t="n">
        <v>221900</v>
      </c>
      <c r="G414" s="2" t="n"/>
      <c r="H414" s="2" t="n"/>
      <c r="I414" s="2" t="n"/>
      <c r="J414" s="2" t="n">
        <v>79500000</v>
      </c>
      <c r="K414" s="2" t="n">
        <v>886560</v>
      </c>
      <c r="L414" s="2" t="n"/>
      <c r="M414" s="2" t="n">
        <v>152550</v>
      </c>
      <c r="N414" s="2" t="n"/>
      <c r="O414" s="2" t="n">
        <v>2210000</v>
      </c>
      <c r="P414" s="2" t="n">
        <v>909510</v>
      </c>
      <c r="Q414" s="2" t="n">
        <v>16610</v>
      </c>
      <c r="R414" s="2" t="n">
        <v>224030</v>
      </c>
      <c r="S414" s="2" t="n">
        <v>4450000</v>
      </c>
      <c r="T414" s="2" t="n">
        <v>280910</v>
      </c>
      <c r="U414" s="2" t="n">
        <v>17690000</v>
      </c>
      <c r="V414" s="2" t="n">
        <v>1900000</v>
      </c>
      <c r="W414" s="2" t="n">
        <v>212950</v>
      </c>
      <c r="X414" s="2" t="n">
        <v>59150</v>
      </c>
      <c r="Z414" s="2" t="n">
        <v>3360000</v>
      </c>
      <c r="AA414" s="2" t="n">
        <v>15120000</v>
      </c>
      <c r="AB414" s="2" t="n">
        <v>10600000</v>
      </c>
      <c r="AC414" s="2" t="n">
        <v>13800000</v>
      </c>
      <c r="AD414" s="2" t="n">
        <v>4440000</v>
      </c>
      <c r="AE414" s="2" t="n">
        <v>79250</v>
      </c>
      <c r="AF414" s="2" t="n">
        <v>617450</v>
      </c>
    </row>
    <row r="415" ht="16" customHeight="1">
      <c r="A415" s="2" t="inlineStr">
        <is>
          <t>03/12/2025</t>
        </is>
      </c>
      <c r="B415" s="2" t="n">
        <v>264460</v>
      </c>
      <c r="C415" s="2" t="n">
        <v>259960</v>
      </c>
      <c r="D415" s="2" t="n">
        <v>13480</v>
      </c>
      <c r="E415" s="2" t="n">
        <v>11310000</v>
      </c>
      <c r="F415" s="2" t="n">
        <v>183650</v>
      </c>
      <c r="G415" s="2" t="n"/>
      <c r="H415" s="2" t="n"/>
      <c r="I415" s="2" t="n"/>
      <c r="J415" s="2" t="n">
        <v>88090000</v>
      </c>
      <c r="K415" s="2" t="n">
        <v>1140000</v>
      </c>
      <c r="L415" s="2" t="n"/>
      <c r="M415" s="2" t="n">
        <v>121460</v>
      </c>
      <c r="N415" s="2" t="n"/>
      <c r="O415" s="2" t="n">
        <v>1650000</v>
      </c>
      <c r="P415" s="2" t="n">
        <v>1540000</v>
      </c>
      <c r="Q415" s="2" t="n">
        <v>14020</v>
      </c>
      <c r="R415" s="2" t="n">
        <v>246270</v>
      </c>
      <c r="S415" s="2" t="n">
        <v>2210000</v>
      </c>
      <c r="T415" s="2" t="n">
        <v>152040</v>
      </c>
      <c r="U415" s="2" t="n">
        <v>7790000</v>
      </c>
      <c r="V415" s="2" t="n">
        <v>1990000</v>
      </c>
      <c r="W415" s="2" t="n">
        <v>231830</v>
      </c>
      <c r="X415" s="2" t="n">
        <v>156820</v>
      </c>
      <c r="Z415" s="2" t="n">
        <v>2610000</v>
      </c>
      <c r="AA415" s="2" t="n">
        <v>26660000</v>
      </c>
      <c r="AB415" s="2" t="n">
        <v>13500000</v>
      </c>
      <c r="AC415" s="2" t="n">
        <v>14330000</v>
      </c>
      <c r="AD415" s="2" t="n">
        <v>1730000</v>
      </c>
      <c r="AE415" s="2" t="n">
        <v>88610</v>
      </c>
      <c r="AF415" s="2" t="n">
        <v>844660</v>
      </c>
    </row>
    <row r="416" ht="16" customHeight="1">
      <c r="A416" s="2" t="inlineStr">
        <is>
          <t>03/11/2025</t>
        </is>
      </c>
      <c r="B416" s="2" t="n">
        <v>290920</v>
      </c>
      <c r="C416" s="2" t="n">
        <v>351990</v>
      </c>
      <c r="D416" s="2" t="n">
        <v>15250</v>
      </c>
      <c r="E416" s="2" t="n">
        <v>11460000</v>
      </c>
      <c r="F416" s="2" t="n">
        <v>331620</v>
      </c>
      <c r="G416" s="2" t="n"/>
      <c r="H416" s="2" t="n"/>
      <c r="I416" s="2" t="n"/>
      <c r="J416" s="2" t="n">
        <v>106540000</v>
      </c>
      <c r="K416" s="2" t="n">
        <v>1080000</v>
      </c>
      <c r="L416" s="2" t="n"/>
      <c r="M416" s="2" t="n">
        <v>276350</v>
      </c>
      <c r="N416" s="2" t="n"/>
      <c r="O416" s="2" t="n">
        <v>3950000</v>
      </c>
      <c r="P416" s="2" t="n">
        <v>1500000</v>
      </c>
      <c r="Q416" s="2" t="n">
        <v>23910</v>
      </c>
      <c r="R416" s="2" t="n">
        <v>397660</v>
      </c>
      <c r="S416" s="2" t="n">
        <v>3400000</v>
      </c>
      <c r="T416" s="2" t="n">
        <v>56880</v>
      </c>
      <c r="U416" s="2" t="n">
        <v>9120000</v>
      </c>
      <c r="V416" s="2" t="n">
        <v>3760000</v>
      </c>
      <c r="W416" s="2" t="n">
        <v>320760</v>
      </c>
      <c r="X416" s="2" t="n">
        <v>78460</v>
      </c>
      <c r="Z416" s="2" t="n">
        <v>5170000</v>
      </c>
      <c r="AA416" s="2" t="n">
        <v>24560000</v>
      </c>
      <c r="AB416" s="2" t="n">
        <v>14190000</v>
      </c>
      <c r="AC416" s="2" t="n">
        <v>22080000</v>
      </c>
      <c r="AD416" s="2" t="n">
        <v>2930000</v>
      </c>
      <c r="AE416" s="2" t="n">
        <v>123590</v>
      </c>
      <c r="AF416" s="2" t="n">
        <v>1260000</v>
      </c>
    </row>
    <row r="417" ht="16" customHeight="1">
      <c r="A417" s="2" t="inlineStr">
        <is>
          <t>03/10/2025</t>
        </is>
      </c>
      <c r="B417" s="2" t="n">
        <v>285120</v>
      </c>
      <c r="C417" s="2" t="n">
        <v>324000</v>
      </c>
      <c r="D417" s="2" t="n">
        <v>13150</v>
      </c>
      <c r="E417" s="2" t="n">
        <v>14770000</v>
      </c>
      <c r="F417" s="2" t="n">
        <v>765880</v>
      </c>
      <c r="G417" s="2" t="n"/>
      <c r="H417" s="2" t="n"/>
      <c r="I417" s="2" t="n"/>
      <c r="J417" s="2" t="n">
        <v>126260000</v>
      </c>
      <c r="K417" s="2" t="n">
        <v>1090000</v>
      </c>
      <c r="L417" s="2" t="n"/>
      <c r="M417" s="2" t="n">
        <v>111940</v>
      </c>
      <c r="N417" s="2" t="n"/>
      <c r="O417" s="2" t="n">
        <v>2400000</v>
      </c>
      <c r="P417" s="2" t="n">
        <v>1420000</v>
      </c>
      <c r="Q417" s="2" t="n">
        <v>39440</v>
      </c>
      <c r="R417" s="2" t="n">
        <v>359750</v>
      </c>
      <c r="S417" s="2" t="n">
        <v>4370000</v>
      </c>
      <c r="T417" s="2" t="n">
        <v>92830</v>
      </c>
      <c r="U417" s="2" t="n">
        <v>18850000</v>
      </c>
      <c r="V417" s="2" t="n">
        <v>1690000</v>
      </c>
      <c r="W417" s="2" t="n">
        <v>268930</v>
      </c>
      <c r="X417" s="2" t="n">
        <v>48640</v>
      </c>
      <c r="Z417" s="2" t="n">
        <v>4540000</v>
      </c>
      <c r="AA417" s="2" t="n">
        <v>23520000</v>
      </c>
      <c r="AB417" s="2" t="n">
        <v>14440000</v>
      </c>
      <c r="AC417" s="2" t="n">
        <v>31480000</v>
      </c>
      <c r="AD417" s="2" t="n">
        <v>1300000</v>
      </c>
      <c r="AE417" s="2" t="n">
        <v>120230</v>
      </c>
      <c r="AF417" s="2" t="n">
        <v>1340000</v>
      </c>
    </row>
    <row r="418" ht="16" customHeight="1">
      <c r="A418" s="2" t="inlineStr">
        <is>
          <t>03/09/2025</t>
        </is>
      </c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>
        <v>108360000</v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Z418" s="2" t="n"/>
      <c r="AA418" s="2" t="n"/>
      <c r="AB418" s="2" t="n"/>
      <c r="AC418" s="2" t="n"/>
      <c r="AD418" s="2" t="n"/>
      <c r="AE418" s="2" t="n">
        <v>69900</v>
      </c>
      <c r="AF418" s="2" t="n">
        <v>645580</v>
      </c>
    </row>
    <row r="419" ht="16" customHeight="1">
      <c r="A419" s="2" t="inlineStr">
        <is>
          <t>03/08/2025</t>
        </is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>
        <v>33680000</v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Z419" s="2" t="n"/>
      <c r="AA419" s="2" t="n"/>
      <c r="AB419" s="2" t="n"/>
      <c r="AC419" s="2" t="n"/>
      <c r="AD419" s="2" t="n"/>
      <c r="AE419" s="2" t="n">
        <v>41900</v>
      </c>
      <c r="AF419" s="2" t="n">
        <v>352500</v>
      </c>
    </row>
    <row r="420" ht="16" customHeight="1">
      <c r="A420" s="2" t="inlineStr">
        <is>
          <t>03/07/2025</t>
        </is>
      </c>
      <c r="B420" s="2" t="n">
        <v>293070</v>
      </c>
      <c r="C420" s="2" t="n">
        <v>207440</v>
      </c>
      <c r="D420" s="2" t="n">
        <v>10430</v>
      </c>
      <c r="E420" s="2" t="n">
        <v>8960000</v>
      </c>
      <c r="F420" s="2" t="n">
        <v>91240</v>
      </c>
      <c r="G420" s="2" t="n"/>
      <c r="H420" s="2" t="n"/>
      <c r="I420" s="2" t="n"/>
      <c r="J420" s="2" t="n">
        <v>109350000</v>
      </c>
      <c r="K420" s="2" t="n">
        <v>1780000</v>
      </c>
      <c r="L420" s="2" t="n"/>
      <c r="M420" s="2" t="n">
        <v>162910</v>
      </c>
      <c r="N420" s="2" t="n"/>
      <c r="O420" s="2" t="n">
        <v>1990000</v>
      </c>
      <c r="P420" s="2" t="n">
        <v>1560000</v>
      </c>
      <c r="Q420" s="2" t="n">
        <v>28650</v>
      </c>
      <c r="R420" s="2" t="n">
        <v>341420</v>
      </c>
      <c r="S420" s="2" t="n">
        <v>1350000</v>
      </c>
      <c r="T420" s="2" t="n">
        <v>52530</v>
      </c>
      <c r="U420" s="2" t="n">
        <v>11510000</v>
      </c>
      <c r="V420" s="2" t="n">
        <v>2380000</v>
      </c>
      <c r="W420" s="2" t="n">
        <v>247090</v>
      </c>
      <c r="X420" s="2" t="n">
        <v>97780</v>
      </c>
      <c r="Z420" s="2" t="n">
        <v>3190000</v>
      </c>
      <c r="AA420" s="2" t="n">
        <v>16560000</v>
      </c>
      <c r="AB420" s="2" t="n">
        <v>12980000</v>
      </c>
      <c r="AC420" s="2" t="n">
        <v>22760000</v>
      </c>
      <c r="AD420" s="2" t="n">
        <v>908920</v>
      </c>
      <c r="AE420" s="2" t="n">
        <v>138110</v>
      </c>
      <c r="AF420" s="2" t="n">
        <v>844510</v>
      </c>
    </row>
    <row r="421" ht="16" customHeight="1">
      <c r="A421" s="2" t="inlineStr">
        <is>
          <t>03/06/2025</t>
        </is>
      </c>
      <c r="B421" s="2" t="n">
        <v>309180</v>
      </c>
      <c r="C421" s="2" t="n">
        <v>211260</v>
      </c>
      <c r="D421" s="2" t="n">
        <v>13170</v>
      </c>
      <c r="E421" s="2" t="n">
        <v>9930000</v>
      </c>
      <c r="F421" s="2" t="n">
        <v>177020</v>
      </c>
      <c r="G421" s="2" t="n"/>
      <c r="H421" s="2" t="n"/>
      <c r="I421" s="2" t="n"/>
      <c r="J421" s="2" t="n">
        <v>84440000</v>
      </c>
      <c r="K421" s="2" t="n">
        <v>1300000</v>
      </c>
      <c r="L421" s="2" t="n"/>
      <c r="M421" s="2" t="n">
        <v>142470</v>
      </c>
      <c r="N421" s="2" t="n"/>
      <c r="O421" s="2" t="n">
        <v>2450000</v>
      </c>
      <c r="P421" s="2" t="n">
        <v>1370000</v>
      </c>
      <c r="Q421" s="2" t="n">
        <v>16000</v>
      </c>
      <c r="R421" s="2" t="n">
        <v>412580</v>
      </c>
      <c r="S421" s="2" t="n">
        <v>1940000</v>
      </c>
      <c r="T421" s="2" t="n">
        <v>40460</v>
      </c>
      <c r="U421" s="2" t="n">
        <v>6470000</v>
      </c>
      <c r="V421" s="2" t="n">
        <v>2380000</v>
      </c>
      <c r="W421" s="2" t="n">
        <v>256960</v>
      </c>
      <c r="X421" s="2" t="n">
        <v>57460</v>
      </c>
      <c r="Z421" s="2" t="n">
        <v>3010000</v>
      </c>
      <c r="AA421" s="2" t="n">
        <v>14870000</v>
      </c>
      <c r="AB421" s="2" t="n">
        <v>11780000</v>
      </c>
      <c r="AC421" s="2" t="n">
        <v>25310000</v>
      </c>
      <c r="AD421" s="2" t="n">
        <v>1030000</v>
      </c>
      <c r="AE421" s="2" t="n">
        <v>89270</v>
      </c>
      <c r="AF421" s="2" t="n">
        <v>636240</v>
      </c>
    </row>
    <row r="422" ht="16" customHeight="1">
      <c r="A422" s="2" t="inlineStr">
        <is>
          <t>03/05/2025</t>
        </is>
      </c>
      <c r="B422" s="2" t="n">
        <v>225190</v>
      </c>
      <c r="C422" s="2" t="n">
        <v>287920</v>
      </c>
      <c r="D422" s="2" t="n">
        <v>11060</v>
      </c>
      <c r="E422" s="2" t="n">
        <v>7160000</v>
      </c>
      <c r="F422" s="2" t="n">
        <v>140490</v>
      </c>
      <c r="G422" s="2" t="n"/>
      <c r="H422" s="2" t="n"/>
      <c r="I422" s="2" t="n"/>
      <c r="J422" s="2" t="n">
        <v>103200000</v>
      </c>
      <c r="K422" s="2" t="n">
        <v>1920000</v>
      </c>
      <c r="L422" s="2" t="n"/>
      <c r="M422" s="2" t="n">
        <v>136260</v>
      </c>
      <c r="N422" s="2" t="n"/>
      <c r="O422" s="2" t="n">
        <v>3600000</v>
      </c>
      <c r="P422" s="2" t="n">
        <v>6480000</v>
      </c>
      <c r="Q422" s="2" t="n">
        <v>20360</v>
      </c>
      <c r="R422" s="2" t="n">
        <v>234050</v>
      </c>
      <c r="S422" s="2" t="n">
        <v>1690000</v>
      </c>
      <c r="T422" s="2" t="n">
        <v>62320</v>
      </c>
      <c r="U422" s="2" t="n">
        <v>15370000</v>
      </c>
      <c r="V422" s="2" t="n">
        <v>2320000</v>
      </c>
      <c r="W422" s="2" t="n">
        <v>294690</v>
      </c>
      <c r="X422" s="2" t="n">
        <v>59270</v>
      </c>
      <c r="Z422" s="2" t="n">
        <v>2560000</v>
      </c>
      <c r="AA422" s="2" t="n">
        <v>16030000</v>
      </c>
      <c r="AB422" s="2" t="n">
        <v>13820000</v>
      </c>
      <c r="AC422" s="2" t="n">
        <v>26200000</v>
      </c>
      <c r="AD422" s="2" t="n">
        <v>1340000</v>
      </c>
      <c r="AE422" s="2" t="n">
        <v>95540</v>
      </c>
      <c r="AF422" s="2" t="n">
        <v>721810</v>
      </c>
    </row>
    <row r="423" ht="16" customHeight="1">
      <c r="A423" s="2" t="inlineStr">
        <is>
          <t>03/04/2025</t>
        </is>
      </c>
      <c r="B423" s="2" t="n">
        <v>262770</v>
      </c>
      <c r="C423" s="2" t="n">
        <v>355750</v>
      </c>
      <c r="D423" s="2" t="n">
        <v>19340</v>
      </c>
      <c r="E423" s="2" t="n">
        <v>11540000</v>
      </c>
      <c r="F423" s="2" t="n">
        <v>191730</v>
      </c>
      <c r="G423" s="2" t="n"/>
      <c r="H423" s="2" t="n"/>
      <c r="I423" s="2" t="n"/>
      <c r="J423" s="2" t="n">
        <v>135120000</v>
      </c>
      <c r="K423" s="2" t="n">
        <v>2970000</v>
      </c>
      <c r="L423" s="2" t="n"/>
      <c r="M423" s="2" t="n">
        <v>192530</v>
      </c>
      <c r="N423" s="2" t="n"/>
      <c r="O423" s="2" t="n">
        <v>3110000</v>
      </c>
      <c r="P423" s="2" t="n">
        <v>1980000</v>
      </c>
      <c r="Q423" s="2" t="n">
        <v>34510</v>
      </c>
      <c r="R423" s="2" t="n">
        <v>242350</v>
      </c>
      <c r="S423" s="2" t="n">
        <v>4210000</v>
      </c>
      <c r="T423" s="2" t="n">
        <v>67570</v>
      </c>
      <c r="U423" s="2" t="n">
        <v>16620000</v>
      </c>
      <c r="V423" s="2" t="n">
        <v>2950000</v>
      </c>
      <c r="W423" s="2" t="n">
        <v>341880</v>
      </c>
      <c r="X423" s="2" t="n">
        <v>101640</v>
      </c>
      <c r="Z423" s="2" t="n">
        <v>3910000</v>
      </c>
      <c r="AA423" s="2" t="n">
        <v>20160000</v>
      </c>
      <c r="AB423" s="2" t="n">
        <v>15310000</v>
      </c>
      <c r="AC423" s="2" t="n">
        <v>30130000</v>
      </c>
      <c r="AD423" s="2" t="n">
        <v>2500000</v>
      </c>
      <c r="AE423" s="2" t="n">
        <v>132500</v>
      </c>
      <c r="AF423" s="2" t="n">
        <v>1350000</v>
      </c>
    </row>
    <row r="424" ht="16" customHeight="1">
      <c r="A424" s="2" t="inlineStr">
        <is>
          <t>03/03/2025</t>
        </is>
      </c>
      <c r="B424" s="2" t="n"/>
      <c r="C424" s="2" t="n"/>
      <c r="D424" s="2" t="n"/>
      <c r="E424" s="2" t="n">
        <v>17440000</v>
      </c>
      <c r="F424" s="2" t="n">
        <v>274210</v>
      </c>
      <c r="G424" s="2" t="n"/>
      <c r="H424" s="2" t="n"/>
      <c r="I424" s="2" t="n"/>
      <c r="J424" s="2" t="n">
        <v>222490000</v>
      </c>
      <c r="K424" s="2" t="n"/>
      <c r="L424" s="2" t="n"/>
      <c r="M424" s="2" t="n"/>
      <c r="N424" s="2" t="n"/>
      <c r="O424" s="2" t="n">
        <v>2510000</v>
      </c>
      <c r="P424" s="2" t="n">
        <v>1470000</v>
      </c>
      <c r="Q424" s="2" t="n"/>
      <c r="R424" s="2" t="n"/>
      <c r="S424" s="2" t="n"/>
      <c r="T424" s="2" t="n"/>
      <c r="U424" s="2" t="n"/>
      <c r="V424" s="2" t="n"/>
      <c r="W424" s="2" t="n"/>
      <c r="X424" s="2" t="n"/>
      <c r="Z424" s="2" t="n">
        <v>5420000</v>
      </c>
      <c r="AA424" s="2" t="n">
        <v>17880000</v>
      </c>
      <c r="AB424" s="2" t="n">
        <v>11580000</v>
      </c>
      <c r="AC424" s="2" t="n">
        <v>30580000</v>
      </c>
      <c r="AD424" s="2" t="n">
        <v>1230000</v>
      </c>
      <c r="AE424" s="2" t="n">
        <v>143150</v>
      </c>
      <c r="AF424" s="2" t="n">
        <v>1180000</v>
      </c>
    </row>
    <row r="425" ht="16" customHeight="1">
      <c r="A425" s="2" t="inlineStr">
        <is>
          <t>03/02/2025</t>
        </is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>
        <v>161080000</v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Z425" s="2" t="n"/>
      <c r="AA425" s="2" t="n"/>
      <c r="AB425" s="2" t="n"/>
      <c r="AC425" s="2" t="n"/>
      <c r="AD425" s="2" t="n"/>
      <c r="AE425" s="2" t="n">
        <v>126760</v>
      </c>
      <c r="AF425" s="2" t="n">
        <v>1350000</v>
      </c>
    </row>
    <row r="426" ht="16" customHeight="1">
      <c r="A426" s="2" t="inlineStr">
        <is>
          <t>03/01/2025</t>
        </is>
      </c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>
        <v>65720000</v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Z426" s="2" t="n"/>
      <c r="AA426" s="2" t="n"/>
      <c r="AB426" s="2" t="n"/>
      <c r="AC426" s="2" t="n"/>
      <c r="AD426" s="2" t="n"/>
      <c r="AE426" s="2" t="n">
        <v>79510</v>
      </c>
      <c r="AF426" s="2" t="n">
        <v>480610</v>
      </c>
    </row>
    <row r="427" ht="16" customHeight="1">
      <c r="A427" s="2" t="inlineStr">
        <is>
          <t>02/28/2025</t>
        </is>
      </c>
      <c r="B427" s="2" t="n">
        <v>267170</v>
      </c>
      <c r="C427" s="2" t="n">
        <v>335600</v>
      </c>
      <c r="D427" s="2" t="n">
        <v>20420</v>
      </c>
      <c r="E427" s="2" t="n">
        <v>13770000</v>
      </c>
      <c r="F427" s="2" t="n">
        <v>1280000</v>
      </c>
      <c r="G427" s="2" t="n"/>
      <c r="H427" s="2" t="n"/>
      <c r="I427" s="2" t="n"/>
      <c r="J427" s="2" t="n">
        <v>216870000</v>
      </c>
      <c r="K427" s="2" t="n">
        <v>2360000</v>
      </c>
      <c r="L427" s="2" t="n"/>
      <c r="M427" s="2" t="n">
        <v>326520</v>
      </c>
      <c r="N427" s="2" t="n"/>
      <c r="O427" s="2" t="n">
        <v>4070000</v>
      </c>
      <c r="P427" s="2" t="n">
        <v>1800000</v>
      </c>
      <c r="Q427" s="2" t="n">
        <v>40240</v>
      </c>
      <c r="R427" s="2" t="n">
        <v>430730</v>
      </c>
      <c r="S427" s="2" t="n">
        <v>2360000</v>
      </c>
      <c r="T427" s="2" t="n">
        <v>90680</v>
      </c>
      <c r="U427" s="2" t="n">
        <v>6880000</v>
      </c>
      <c r="V427" s="2" t="n">
        <v>4690000</v>
      </c>
      <c r="W427" s="2" t="n">
        <v>256790</v>
      </c>
      <c r="X427" s="2" t="n">
        <v>135780</v>
      </c>
      <c r="Z427" s="2" t="n">
        <v>3420000</v>
      </c>
      <c r="AA427" s="2" t="n">
        <v>16590000</v>
      </c>
      <c r="AB427" s="2" t="n">
        <v>8670000</v>
      </c>
      <c r="AC427" s="2" t="n">
        <v>22660000</v>
      </c>
      <c r="AD427" s="2" t="n">
        <v>982230</v>
      </c>
      <c r="AE427" s="2" t="n">
        <v>186900</v>
      </c>
      <c r="AF427" s="2" t="n">
        <v>1390000</v>
      </c>
    </row>
    <row r="428" ht="16" customHeight="1">
      <c r="A428" s="2" t="inlineStr">
        <is>
          <t>02/27/2025</t>
        </is>
      </c>
      <c r="B428" s="2" t="n">
        <v>259050</v>
      </c>
      <c r="C428" s="2" t="n">
        <v>337340</v>
      </c>
      <c r="D428" s="2" t="n">
        <v>12280</v>
      </c>
      <c r="E428" s="2" t="n">
        <v>10810000</v>
      </c>
      <c r="F428" s="2" t="n">
        <v>382520</v>
      </c>
      <c r="G428" s="2" t="n"/>
      <c r="H428" s="2" t="n"/>
      <c r="I428" s="2" t="n"/>
      <c r="J428" s="2" t="n">
        <v>139700000</v>
      </c>
      <c r="K428" s="2" t="n">
        <v>1840000</v>
      </c>
      <c r="L428" s="2" t="n"/>
      <c r="M428" s="2" t="n">
        <v>173830</v>
      </c>
      <c r="N428" s="2" t="n"/>
      <c r="O428" s="2" t="n">
        <v>1980000</v>
      </c>
      <c r="P428" s="2" t="n">
        <v>2500000</v>
      </c>
      <c r="Q428" s="2" t="n">
        <v>13980</v>
      </c>
      <c r="R428" s="2" t="n">
        <v>263640</v>
      </c>
      <c r="S428" s="2" t="n">
        <v>1320000</v>
      </c>
      <c r="T428" s="2" t="n">
        <v>110260</v>
      </c>
      <c r="U428" s="2" t="n">
        <v>8980000</v>
      </c>
      <c r="V428" s="2" t="n">
        <v>6230000</v>
      </c>
      <c r="W428" s="2" t="n">
        <v>207530</v>
      </c>
      <c r="X428" s="2" t="n">
        <v>83140</v>
      </c>
      <c r="Z428" s="2" t="n">
        <v>2650000</v>
      </c>
      <c r="AA428" s="2" t="n">
        <v>12410000</v>
      </c>
      <c r="AB428" s="2" t="n">
        <v>11240000</v>
      </c>
      <c r="AC428" s="2" t="n">
        <v>18520000</v>
      </c>
      <c r="AD428" s="2" t="n">
        <v>766350</v>
      </c>
      <c r="AE428" s="2" t="n">
        <v>116140</v>
      </c>
      <c r="AF428" s="2" t="n">
        <v>687340</v>
      </c>
    </row>
    <row r="429" ht="16" customHeight="1">
      <c r="A429" s="2" t="inlineStr">
        <is>
          <t>02/26/2025</t>
        </is>
      </c>
      <c r="B429" s="2" t="n">
        <v>230540</v>
      </c>
      <c r="C429" s="2" t="n">
        <v>416020</v>
      </c>
      <c r="D429" s="2" t="n">
        <v>10790</v>
      </c>
      <c r="E429" s="2" t="n">
        <v>9570000</v>
      </c>
      <c r="F429" s="2" t="n">
        <v>527030</v>
      </c>
      <c r="G429" s="2" t="n"/>
      <c r="H429" s="2" t="n"/>
      <c r="I429" s="2" t="n"/>
      <c r="J429" s="2" t="n">
        <v>158440000</v>
      </c>
      <c r="K429" s="2" t="n">
        <v>2510000</v>
      </c>
      <c r="L429" s="2" t="n"/>
      <c r="M429" s="2" t="n">
        <v>205200</v>
      </c>
      <c r="N429" s="2" t="n"/>
      <c r="O429" s="2" t="n">
        <v>4640000</v>
      </c>
      <c r="P429" s="2" t="n">
        <v>997370</v>
      </c>
      <c r="Q429" s="2" t="n">
        <v>30840</v>
      </c>
      <c r="R429" s="2" t="n">
        <v>333590</v>
      </c>
      <c r="S429" s="2" t="n">
        <v>1590000</v>
      </c>
      <c r="T429" s="2" t="n">
        <v>26320</v>
      </c>
      <c r="U429" s="2" t="n">
        <v>6410000</v>
      </c>
      <c r="V429" s="2" t="n">
        <v>2710000</v>
      </c>
      <c r="W429" s="2" t="n">
        <v>219990</v>
      </c>
      <c r="X429" s="2" t="n">
        <v>191950</v>
      </c>
      <c r="Z429" s="2" t="n">
        <v>2000000</v>
      </c>
      <c r="AA429" s="2" t="n">
        <v>12880000</v>
      </c>
      <c r="AB429" s="2" t="n">
        <v>6600000</v>
      </c>
      <c r="AC429" s="2" t="n">
        <v>19880000</v>
      </c>
      <c r="AD429" s="2" t="n">
        <v>677300</v>
      </c>
      <c r="AE429" s="2" t="n">
        <v>145330</v>
      </c>
      <c r="AF429" s="2" t="n">
        <v>933330</v>
      </c>
    </row>
    <row r="430" ht="16" customHeight="1">
      <c r="A430" s="2" t="inlineStr">
        <is>
          <t>02/25/2025</t>
        </is>
      </c>
      <c r="B430" s="2" t="n">
        <v>227970</v>
      </c>
      <c r="C430" s="2" t="n">
        <v>288600</v>
      </c>
      <c r="D430" s="2" t="n">
        <v>11810</v>
      </c>
      <c r="E430" s="2" t="n">
        <v>10830000</v>
      </c>
      <c r="F430" s="2" t="n">
        <v>376750</v>
      </c>
      <c r="G430" s="2" t="n"/>
      <c r="H430" s="2" t="n"/>
      <c r="I430" s="2" t="n"/>
      <c r="J430" s="2" t="n">
        <v>312850000</v>
      </c>
      <c r="K430" s="2" t="n">
        <v>1640000</v>
      </c>
      <c r="L430" s="2" t="n"/>
      <c r="M430" s="2" t="n">
        <v>109110</v>
      </c>
      <c r="N430" s="2" t="n"/>
      <c r="O430" s="2" t="n">
        <v>2580000</v>
      </c>
      <c r="P430" s="2" t="n">
        <v>1480000</v>
      </c>
      <c r="Q430" s="2" t="n">
        <v>21770</v>
      </c>
      <c r="R430" s="2" t="n">
        <v>280380</v>
      </c>
      <c r="S430" s="2" t="n">
        <v>1140000</v>
      </c>
      <c r="T430" s="2" t="n">
        <v>87310</v>
      </c>
      <c r="U430" s="2" t="n">
        <v>5110000</v>
      </c>
      <c r="V430" s="2" t="n">
        <v>2110000</v>
      </c>
      <c r="W430" s="2" t="n">
        <v>250660</v>
      </c>
      <c r="X430" s="2" t="n">
        <v>43670</v>
      </c>
      <c r="Z430" s="2" t="n">
        <v>2770000</v>
      </c>
      <c r="AA430" s="2" t="n">
        <v>12770000</v>
      </c>
      <c r="AB430" s="2" t="n">
        <v>11750000</v>
      </c>
      <c r="AC430" s="2" t="n">
        <v>31380000</v>
      </c>
      <c r="AD430" s="2" t="n">
        <v>899880</v>
      </c>
      <c r="AE430" s="2" t="n">
        <v>195290</v>
      </c>
      <c r="AF430" s="2" t="n">
        <v>1440000</v>
      </c>
    </row>
    <row r="431" ht="16" customHeight="1">
      <c r="A431" s="2" t="inlineStr">
        <is>
          <t>02/24/2025</t>
        </is>
      </c>
      <c r="B431" s="2" t="n">
        <v>242080</v>
      </c>
      <c r="C431" s="2" t="n">
        <v>201500</v>
      </c>
      <c r="D431" s="2" t="n">
        <v>15620</v>
      </c>
      <c r="E431" s="2" t="n">
        <v>9730000</v>
      </c>
      <c r="F431" s="2" t="n">
        <v>200450</v>
      </c>
      <c r="G431" s="2" t="n"/>
      <c r="H431" s="2" t="n"/>
      <c r="I431" s="2" t="n"/>
      <c r="J431" s="2" t="n">
        <v>196430000</v>
      </c>
      <c r="K431" s="2" t="n">
        <v>2180000</v>
      </c>
      <c r="L431" s="2" t="n"/>
      <c r="M431" s="2" t="n">
        <v>160430</v>
      </c>
      <c r="N431" s="2" t="n"/>
      <c r="O431" s="2" t="n">
        <v>1860000</v>
      </c>
      <c r="P431" s="2" t="n">
        <v>1630000</v>
      </c>
      <c r="Q431" s="2" t="n">
        <v>15580</v>
      </c>
      <c r="R431" s="2" t="n">
        <v>320890</v>
      </c>
      <c r="S431" s="2" t="n">
        <v>1630000</v>
      </c>
      <c r="T431" s="2" t="n">
        <v>47140</v>
      </c>
      <c r="U431" s="2" t="n">
        <v>5040000</v>
      </c>
      <c r="V431" s="2" t="n">
        <v>3550000</v>
      </c>
      <c r="W431" s="2" t="n">
        <v>340500</v>
      </c>
      <c r="X431" s="2" t="n">
        <v>49560</v>
      </c>
      <c r="Z431" s="2" t="n">
        <v>2560000</v>
      </c>
      <c r="AA431" s="2" t="n">
        <v>13680000</v>
      </c>
      <c r="AB431" s="2" t="n">
        <v>6320000</v>
      </c>
      <c r="AC431" s="2" t="n">
        <v>17970000</v>
      </c>
      <c r="AD431" s="2" t="n">
        <v>1050000</v>
      </c>
      <c r="AE431" s="2" t="n">
        <v>96460</v>
      </c>
      <c r="AF431" s="2" t="n">
        <v>959090</v>
      </c>
    </row>
    <row r="432" ht="16" customHeight="1">
      <c r="A432" s="2" t="inlineStr">
        <is>
          <t>02/23/2025</t>
        </is>
      </c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>
        <v>68910000</v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Z432" s="2" t="n"/>
      <c r="AA432" s="2" t="n"/>
      <c r="AB432" s="2" t="n"/>
      <c r="AC432" s="2" t="n"/>
      <c r="AD432" s="2" t="n"/>
      <c r="AE432" s="2" t="n">
        <v>38820</v>
      </c>
      <c r="AF432" s="2" t="n">
        <v>655960</v>
      </c>
    </row>
    <row r="433" ht="16" customHeight="1">
      <c r="A433" s="2" t="inlineStr">
        <is>
          <t>02/22/2025</t>
        </is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>
        <v>64140000</v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Z433" s="2" t="n"/>
      <c r="AA433" s="2" t="n"/>
      <c r="AB433" s="2" t="n"/>
      <c r="AC433" s="2" t="n"/>
      <c r="AD433" s="2" t="n"/>
      <c r="AE433" s="2" t="n">
        <v>45620</v>
      </c>
      <c r="AF433" s="2" t="n">
        <v>485010</v>
      </c>
    </row>
    <row r="434" ht="16" customHeight="1">
      <c r="A434" s="2" t="inlineStr">
        <is>
          <t>02/21/2025</t>
        </is>
      </c>
      <c r="B434" s="2" t="n">
        <v>264960</v>
      </c>
      <c r="C434" s="2" t="n">
        <v>171070</v>
      </c>
      <c r="D434" s="2" t="n">
        <v>12380</v>
      </c>
      <c r="E434" s="2" t="n">
        <v>9110000</v>
      </c>
      <c r="F434" s="2" t="n">
        <v>225730</v>
      </c>
      <c r="G434" s="2" t="n"/>
      <c r="H434" s="2" t="n"/>
      <c r="I434" s="2" t="n"/>
      <c r="J434" s="2" t="n">
        <v>206140000</v>
      </c>
      <c r="K434" s="2" t="n">
        <v>3420000</v>
      </c>
      <c r="L434" s="2" t="n"/>
      <c r="M434" s="2" t="n">
        <v>115340</v>
      </c>
      <c r="N434" s="2" t="n"/>
      <c r="O434" s="2" t="n">
        <v>2340000</v>
      </c>
      <c r="P434" s="2" t="n">
        <v>1120000</v>
      </c>
      <c r="Q434" s="2" t="n">
        <v>19510</v>
      </c>
      <c r="R434" s="2" t="n">
        <v>169600</v>
      </c>
      <c r="S434" s="2" t="n">
        <v>1640000</v>
      </c>
      <c r="T434" s="2" t="n">
        <v>153070</v>
      </c>
      <c r="U434" s="2" t="n">
        <v>5610000</v>
      </c>
      <c r="V434" s="2" t="n">
        <v>2720000</v>
      </c>
      <c r="W434" s="2" t="n">
        <v>295820</v>
      </c>
      <c r="X434" s="2" t="n">
        <v>72940</v>
      </c>
      <c r="Z434" s="2" t="n">
        <v>2300000</v>
      </c>
      <c r="AA434" s="2" t="n">
        <v>13860000</v>
      </c>
      <c r="AB434" s="2" t="n">
        <v>7550000</v>
      </c>
      <c r="AC434" s="2" t="n">
        <v>17930000</v>
      </c>
      <c r="AD434" s="2" t="n">
        <v>755980</v>
      </c>
      <c r="AE434" s="2" t="n">
        <v>104280</v>
      </c>
      <c r="AF434" s="2" t="n">
        <v>974360</v>
      </c>
    </row>
    <row r="435" ht="16" customHeight="1">
      <c r="A435" s="2" t="inlineStr">
        <is>
          <t>02/20/2025</t>
        </is>
      </c>
      <c r="B435" s="2" t="n">
        <v>256839</v>
      </c>
      <c r="C435" s="2" t="n">
        <v>201930</v>
      </c>
      <c r="D435" s="2" t="n">
        <v>14830</v>
      </c>
      <c r="E435" s="2" t="n">
        <v>7610000</v>
      </c>
      <c r="F435" s="2" t="n">
        <v>222380</v>
      </c>
      <c r="G435" s="2" t="n"/>
      <c r="H435" s="2" t="n"/>
      <c r="I435" s="2" t="n"/>
      <c r="J435" s="2" t="n">
        <v>149190000</v>
      </c>
      <c r="K435" s="2" t="n">
        <v>2450000</v>
      </c>
      <c r="L435" s="2" t="n"/>
      <c r="M435" s="2" t="n">
        <v>65150.00000000001</v>
      </c>
      <c r="N435" s="2" t="n"/>
      <c r="O435" s="2" t="n">
        <v>1180000</v>
      </c>
      <c r="P435" s="2" t="n">
        <v>3640000</v>
      </c>
      <c r="Q435" s="2" t="n">
        <v>8740</v>
      </c>
      <c r="R435" s="2" t="n">
        <v>276740</v>
      </c>
      <c r="S435" s="2" t="n">
        <v>3420000</v>
      </c>
      <c r="T435" s="2" t="n">
        <v>41000</v>
      </c>
      <c r="U435" s="2" t="n">
        <v>8740000</v>
      </c>
      <c r="V435" s="2" t="n">
        <v>4000000</v>
      </c>
      <c r="W435" s="2" t="n">
        <v>240330</v>
      </c>
      <c r="X435" s="2" t="n">
        <v>86860</v>
      </c>
      <c r="Z435" s="2" t="n">
        <v>1560000</v>
      </c>
      <c r="AA435" s="2" t="n">
        <v>12610000</v>
      </c>
      <c r="AB435" s="2" t="n">
        <v>4720000</v>
      </c>
      <c r="AC435" s="2" t="n">
        <v>12290000</v>
      </c>
      <c r="AD435" s="2" t="n">
        <v>952930</v>
      </c>
      <c r="AE435" s="2" t="n">
        <v>61840</v>
      </c>
      <c r="AF435" s="2" t="n">
        <v>372950</v>
      </c>
    </row>
    <row r="436" ht="16" customHeight="1">
      <c r="A436" s="2" t="inlineStr">
        <is>
          <t>02/19/2025</t>
        </is>
      </c>
      <c r="B436" s="2" t="n">
        <v>239470</v>
      </c>
      <c r="C436" s="2" t="n">
        <v>285840</v>
      </c>
      <c r="D436" s="2" t="n">
        <v>16740</v>
      </c>
      <c r="E436" s="2" t="n">
        <v>7280000</v>
      </c>
      <c r="F436" s="2" t="n">
        <v>383590</v>
      </c>
      <c r="G436" s="2" t="n"/>
      <c r="H436" s="2" t="n"/>
      <c r="I436" s="2" t="n"/>
      <c r="J436" s="2" t="n">
        <v>115840000</v>
      </c>
      <c r="K436" s="2" t="n">
        <v>3250000</v>
      </c>
      <c r="L436" s="2" t="n"/>
      <c r="M436" s="2" t="n">
        <v>226090</v>
      </c>
      <c r="N436" s="2" t="n"/>
      <c r="O436" s="2" t="n">
        <v>1410000</v>
      </c>
      <c r="P436" s="2" t="n">
        <v>1130000</v>
      </c>
      <c r="Q436" s="2" t="n">
        <v>13900</v>
      </c>
      <c r="R436" s="2" t="n">
        <v>464460</v>
      </c>
      <c r="S436" s="2" t="n">
        <v>1580000</v>
      </c>
      <c r="T436" s="2" t="n">
        <v>91090</v>
      </c>
      <c r="U436" s="2" t="n">
        <v>4930000</v>
      </c>
      <c r="V436" s="2" t="n">
        <v>2040000</v>
      </c>
      <c r="W436" s="2" t="n">
        <v>325850</v>
      </c>
      <c r="X436" s="2" t="n">
        <v>83210</v>
      </c>
      <c r="Z436" s="2" t="n">
        <v>1410000</v>
      </c>
      <c r="AA436" s="2" t="n">
        <v>12270000</v>
      </c>
      <c r="AB436" s="2" t="n">
        <v>3590000</v>
      </c>
      <c r="AC436" s="2" t="n">
        <v>17040000</v>
      </c>
      <c r="AD436" s="2" t="n">
        <v>723760</v>
      </c>
      <c r="AE436" s="2" t="n">
        <v>58270</v>
      </c>
      <c r="AF436" s="2" t="n">
        <v>362400</v>
      </c>
    </row>
    <row r="437" ht="16" customHeight="1">
      <c r="A437" s="2" t="inlineStr">
        <is>
          <t>02/18/2025</t>
        </is>
      </c>
      <c r="B437" s="2" t="n">
        <v>131080</v>
      </c>
      <c r="C437" s="2" t="n">
        <v>259660</v>
      </c>
      <c r="D437" s="2" t="n">
        <v>11550</v>
      </c>
      <c r="E437" s="2" t="n">
        <v>15820000</v>
      </c>
      <c r="F437" s="2" t="n">
        <v>541680</v>
      </c>
      <c r="G437" s="2" t="n"/>
      <c r="H437" s="2" t="n"/>
      <c r="I437" s="2" t="n"/>
      <c r="J437" s="2" t="n">
        <v>159330000</v>
      </c>
      <c r="K437" s="2" t="n">
        <v>5030000</v>
      </c>
      <c r="L437" s="2" t="n"/>
      <c r="M437" s="2" t="n">
        <v>113120</v>
      </c>
      <c r="N437" s="2" t="n"/>
      <c r="O437" s="2" t="n">
        <v>1410000</v>
      </c>
      <c r="P437" s="2" t="n">
        <v>1690000</v>
      </c>
      <c r="Q437" s="2" t="n">
        <v>21160</v>
      </c>
      <c r="R437" s="2" t="n">
        <v>242520</v>
      </c>
      <c r="S437" s="2" t="n">
        <v>1120000</v>
      </c>
      <c r="T437" s="2" t="n">
        <v>37560</v>
      </c>
      <c r="U437" s="2" t="n">
        <v>3050000</v>
      </c>
      <c r="V437" s="2" t="n">
        <v>1580000</v>
      </c>
      <c r="W437" s="2" t="n">
        <v>288650</v>
      </c>
      <c r="X437" s="2" t="n">
        <v>44970</v>
      </c>
      <c r="Z437" s="2" t="n">
        <v>1870000</v>
      </c>
      <c r="AA437" s="2" t="n">
        <v>15610000</v>
      </c>
      <c r="AB437" s="2" t="n">
        <v>6480000</v>
      </c>
      <c r="AC437" s="2" t="n">
        <v>10180000</v>
      </c>
      <c r="AD437" s="2" t="n">
        <v>1010000</v>
      </c>
      <c r="AE437" s="2" t="n">
        <v>74090</v>
      </c>
      <c r="AF437" s="2" t="n">
        <v>648950</v>
      </c>
    </row>
    <row r="438" ht="16" customHeight="1">
      <c r="A438" s="2" t="inlineStr">
        <is>
          <t>02/17/2025</t>
        </is>
      </c>
      <c r="B438" s="2" t="n">
        <v>149780</v>
      </c>
      <c r="C438" s="2" t="n">
        <v>328560</v>
      </c>
      <c r="D438" s="2" t="n">
        <v>15570</v>
      </c>
      <c r="E438" s="2" t="n"/>
      <c r="F438" s="2" t="n"/>
      <c r="G438" s="2" t="n"/>
      <c r="H438" s="2" t="n"/>
      <c r="I438" s="2" t="n"/>
      <c r="J438" s="2" t="n">
        <v>116760000</v>
      </c>
      <c r="K438" s="2" t="n">
        <v>4230000</v>
      </c>
      <c r="L438" s="2" t="n"/>
      <c r="M438" s="2" t="n">
        <v>105780</v>
      </c>
      <c r="N438" s="2" t="n"/>
      <c r="O438" s="2" t="n"/>
      <c r="P438" s="2" t="n"/>
      <c r="Q438" s="2" t="n">
        <v>36040</v>
      </c>
      <c r="R438" s="2" t="n">
        <v>178930</v>
      </c>
      <c r="S438" s="2" t="n">
        <v>902510</v>
      </c>
      <c r="T438" s="2" t="n">
        <v>27300</v>
      </c>
      <c r="U438" s="2" t="n">
        <v>3230000</v>
      </c>
      <c r="V438" s="2" t="n">
        <v>1300000</v>
      </c>
      <c r="W438" s="2" t="n">
        <v>358070</v>
      </c>
      <c r="X438" s="2" t="n">
        <v>87430</v>
      </c>
      <c r="Z438" s="2" t="n"/>
      <c r="AA438" s="2" t="n"/>
      <c r="AB438" s="2" t="n"/>
      <c r="AC438" s="2" t="n"/>
      <c r="AD438" s="2" t="n"/>
      <c r="AE438" s="2" t="n">
        <v>58400</v>
      </c>
      <c r="AF438" s="2" t="n">
        <v>696200</v>
      </c>
    </row>
    <row r="439" ht="16" customHeight="1">
      <c r="A439" s="2" t="inlineStr">
        <is>
          <t>02/16/2025</t>
        </is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>
        <v>70210000</v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Z439" s="2" t="n"/>
      <c r="AA439" s="2" t="n"/>
      <c r="AB439" s="2" t="n"/>
      <c r="AC439" s="2" t="n"/>
      <c r="AD439" s="2" t="n"/>
      <c r="AE439" s="2" t="n">
        <v>33350</v>
      </c>
      <c r="AF439" s="2" t="n">
        <v>207060</v>
      </c>
    </row>
    <row r="440" ht="16" customHeight="1">
      <c r="A440" s="2" t="inlineStr">
        <is>
          <t>02/15/2025</t>
        </is>
      </c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>
        <v>100650000</v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Z440" s="2" t="n"/>
      <c r="AA440" s="2" t="n"/>
      <c r="AB440" s="2" t="n"/>
      <c r="AC440" s="2" t="n"/>
      <c r="AD440" s="2" t="n"/>
      <c r="AE440" s="2" t="n">
        <v>29650</v>
      </c>
      <c r="AF440" s="2" t="n">
        <v>216630</v>
      </c>
    </row>
    <row r="441" ht="16" customHeight="1">
      <c r="A441" s="2" t="inlineStr">
        <is>
          <t>02/14/2025</t>
        </is>
      </c>
      <c r="B441" s="2" t="n">
        <v>149050</v>
      </c>
      <c r="C441" s="2" t="n">
        <v>177800</v>
      </c>
      <c r="D441" s="2" t="n">
        <v>12480</v>
      </c>
      <c r="E441" s="2" t="n">
        <v>7650000</v>
      </c>
      <c r="F441" s="2" t="n">
        <v>242890</v>
      </c>
      <c r="G441" s="2" t="n"/>
      <c r="H441" s="2" t="n"/>
      <c r="I441" s="2" t="n"/>
      <c r="J441" s="2" t="n">
        <v>158800000</v>
      </c>
      <c r="K441" s="2" t="n">
        <v>4750000</v>
      </c>
      <c r="L441" s="2" t="n"/>
      <c r="M441" s="2" t="n">
        <v>87350</v>
      </c>
      <c r="N441" s="2" t="n"/>
      <c r="O441" s="2" t="n">
        <v>1330000</v>
      </c>
      <c r="P441" s="2" t="n">
        <v>1060000</v>
      </c>
      <c r="Q441" s="2" t="n">
        <v>24160</v>
      </c>
      <c r="R441" s="2" t="n">
        <v>105360</v>
      </c>
      <c r="S441" s="2" t="n">
        <v>1100000</v>
      </c>
      <c r="T441" s="2" t="n">
        <v>113990</v>
      </c>
      <c r="U441" s="2" t="n">
        <v>2950000</v>
      </c>
      <c r="V441" s="2" t="n">
        <v>1090000</v>
      </c>
      <c r="W441" s="2" t="n">
        <v>342470</v>
      </c>
      <c r="X441" s="2" t="n">
        <v>173020</v>
      </c>
      <c r="Z441" s="2" t="n">
        <v>1480000</v>
      </c>
      <c r="AA441" s="2" t="n">
        <v>10060000</v>
      </c>
      <c r="AB441" s="2" t="n">
        <v>3910000</v>
      </c>
      <c r="AC441" s="2" t="n">
        <v>13910000</v>
      </c>
      <c r="AD441" s="2" t="n">
        <v>674690</v>
      </c>
      <c r="AE441" s="2" t="n">
        <v>65370.00000000001</v>
      </c>
      <c r="AF441" s="2" t="n">
        <v>466760</v>
      </c>
    </row>
    <row r="442" ht="16" customHeight="1">
      <c r="A442" s="2" t="inlineStr">
        <is>
          <t>02/13/2025</t>
        </is>
      </c>
      <c r="B442" s="2" t="n">
        <v>146620</v>
      </c>
      <c r="C442" s="2" t="n">
        <v>207440</v>
      </c>
      <c r="D442" s="2" t="n">
        <v>19020</v>
      </c>
      <c r="E442" s="2" t="n">
        <v>5690000</v>
      </c>
      <c r="F442" s="2" t="n">
        <v>246620</v>
      </c>
      <c r="G442" s="2" t="n"/>
      <c r="H442" s="2" t="n"/>
      <c r="I442" s="2" t="n"/>
      <c r="J442" s="2" t="n">
        <v>183480000</v>
      </c>
      <c r="K442" s="2" t="n">
        <v>3220000</v>
      </c>
      <c r="L442" s="2" t="n"/>
      <c r="M442" s="2" t="n">
        <v>129840</v>
      </c>
      <c r="N442" s="2" t="n"/>
      <c r="O442" s="2" t="n">
        <v>1730000</v>
      </c>
      <c r="P442" s="2" t="n">
        <v>1580000</v>
      </c>
      <c r="Q442" s="2" t="n">
        <v>19840</v>
      </c>
      <c r="R442" s="2" t="n">
        <v>97770</v>
      </c>
      <c r="S442" s="2" t="n">
        <v>2140000</v>
      </c>
      <c r="T442" s="2" t="n">
        <v>29210</v>
      </c>
      <c r="U442" s="2" t="n">
        <v>4570000</v>
      </c>
      <c r="V442" s="2" t="n">
        <v>1300000</v>
      </c>
      <c r="W442" s="2" t="n">
        <v>335670</v>
      </c>
      <c r="X442" s="2" t="n">
        <v>53050</v>
      </c>
      <c r="Z442" s="2" t="n">
        <v>2010000</v>
      </c>
      <c r="AA442" s="2" t="n">
        <v>10940000</v>
      </c>
      <c r="AB442" s="2" t="n">
        <v>6290000</v>
      </c>
      <c r="AC442" s="2" t="n">
        <v>9850000</v>
      </c>
      <c r="AD442" s="2" t="n">
        <v>769680</v>
      </c>
      <c r="AE442" s="2" t="n">
        <v>66760</v>
      </c>
      <c r="AF442" s="2" t="n">
        <v>496620</v>
      </c>
    </row>
    <row r="443">
      <c r="A443" s="2" t="inlineStr">
        <is>
          <t>02/12/2025</t>
        </is>
      </c>
      <c r="B443" s="2" t="n">
        <v>121280</v>
      </c>
      <c r="C443" s="2" t="n">
        <v>262570</v>
      </c>
      <c r="D443" s="2" t="n">
        <v>13970</v>
      </c>
      <c r="E443" s="2" t="n">
        <v>6620000</v>
      </c>
      <c r="F443" s="2" t="n">
        <v>459930</v>
      </c>
      <c r="G443" s="2" t="n"/>
      <c r="H443" s="2" t="n"/>
      <c r="I443" s="2" t="n"/>
      <c r="J443" s="2" t="n">
        <v>206380000</v>
      </c>
      <c r="K443" s="2" t="n">
        <v>3500000</v>
      </c>
      <c r="L443" s="2" t="n"/>
      <c r="M443" s="2" t="n">
        <v>82360</v>
      </c>
      <c r="N443" s="2" t="n"/>
      <c r="O443" s="2" t="n">
        <v>1980000</v>
      </c>
      <c r="P443" s="2" t="n">
        <v>1490000</v>
      </c>
      <c r="Q443" s="2" t="n">
        <v>20950</v>
      </c>
      <c r="R443" s="2" t="n">
        <v>104960</v>
      </c>
      <c r="S443" s="2" t="n">
        <v>836600</v>
      </c>
      <c r="T443" s="2" t="n">
        <v>26860</v>
      </c>
      <c r="U443" s="2" t="n">
        <v>3680000</v>
      </c>
      <c r="V443" s="2" t="n">
        <v>1230000</v>
      </c>
      <c r="W443" s="2" t="n">
        <v>346480</v>
      </c>
      <c r="X443" s="2" t="n">
        <v>58930</v>
      </c>
      <c r="Z443" s="2" t="n">
        <v>2770000</v>
      </c>
      <c r="AA443" s="2" t="n">
        <v>12120000</v>
      </c>
      <c r="AB443" s="2" t="n">
        <v>7370000</v>
      </c>
      <c r="AC443" s="2" t="n">
        <v>9840000</v>
      </c>
      <c r="AD443" s="2" t="n">
        <v>952240</v>
      </c>
      <c r="AE443" s="2" t="n">
        <v>87210</v>
      </c>
      <c r="AF443" s="2" t="n">
        <v>689450</v>
      </c>
    </row>
    <row r="444">
      <c r="A444" s="2" t="inlineStr">
        <is>
          <t>02/11/2025</t>
        </is>
      </c>
      <c r="B444" s="2" t="n">
        <v>127860</v>
      </c>
      <c r="C444" s="2" t="n">
        <v>282810</v>
      </c>
      <c r="D444" s="2" t="n">
        <v>17110</v>
      </c>
      <c r="E444" s="2" t="n">
        <v>6420000</v>
      </c>
      <c r="F444" s="2" t="n">
        <v>335960</v>
      </c>
      <c r="G444" s="2" t="n"/>
      <c r="H444" s="2" t="n"/>
      <c r="I444" s="2" t="n"/>
      <c r="J444" s="2" t="n">
        <v>207280000</v>
      </c>
      <c r="K444" s="2" t="n">
        <v>3400000</v>
      </c>
      <c r="L444" s="2" t="n"/>
      <c r="M444" s="2" t="n">
        <v>89030</v>
      </c>
      <c r="N444" s="2" t="n"/>
      <c r="O444" s="2" t="n">
        <v>1400000</v>
      </c>
      <c r="P444" s="2" t="n">
        <v>1540000</v>
      </c>
      <c r="Q444" s="2" t="n">
        <v>20450</v>
      </c>
      <c r="R444" s="2" t="n">
        <v>109110</v>
      </c>
      <c r="S444" s="2" t="n">
        <v>1500000</v>
      </c>
      <c r="T444" s="2" t="n">
        <v>12140</v>
      </c>
      <c r="U444" s="2" t="n">
        <v>3490000</v>
      </c>
      <c r="V444" s="2" t="n">
        <v>1220000</v>
      </c>
      <c r="W444" s="2" t="n">
        <v>281440</v>
      </c>
      <c r="X444" s="2" t="n">
        <v>45830</v>
      </c>
      <c r="Z444" s="2" t="n">
        <v>1320000</v>
      </c>
      <c r="AA444" s="2" t="n">
        <v>11200000</v>
      </c>
      <c r="AB444" s="2" t="n">
        <v>3030000</v>
      </c>
      <c r="AC444" s="2" t="n">
        <v>12020000</v>
      </c>
      <c r="AD444" s="2" t="n">
        <v>638030</v>
      </c>
      <c r="AE444" s="2" t="n">
        <v>69890</v>
      </c>
      <c r="AF444" s="2" t="n">
        <v>521350</v>
      </c>
    </row>
    <row r="445">
      <c r="A445" s="2" t="inlineStr">
        <is>
          <t>02/10/2025</t>
        </is>
      </c>
      <c r="B445" s="2" t="n">
        <v>137460</v>
      </c>
      <c r="C445" s="2" t="n">
        <v>309960</v>
      </c>
      <c r="D445" s="2" t="n">
        <v>13420</v>
      </c>
      <c r="E445" s="2" t="n">
        <v>7520000</v>
      </c>
      <c r="F445" s="2" t="n">
        <v>616630</v>
      </c>
      <c r="G445" s="2" t="n"/>
      <c r="H445" s="2" t="n"/>
      <c r="I445" s="2" t="n"/>
      <c r="J445" s="2" t="n">
        <v>136730000</v>
      </c>
      <c r="K445" s="2" t="n">
        <v>2140000</v>
      </c>
      <c r="L445" s="2" t="n"/>
      <c r="M445" s="2" t="n">
        <v>78820</v>
      </c>
      <c r="N445" s="2" t="n"/>
      <c r="O445" s="2" t="n">
        <v>1630000</v>
      </c>
      <c r="P445" s="2" t="n">
        <v>12520000</v>
      </c>
      <c r="Q445" s="2" t="n">
        <v>57340</v>
      </c>
      <c r="R445" s="2" t="n">
        <v>132250</v>
      </c>
      <c r="S445" s="2" t="n">
        <v>1090000</v>
      </c>
      <c r="T445" s="2" t="n">
        <v>10810</v>
      </c>
      <c r="U445" s="2" t="n">
        <v>4780000</v>
      </c>
      <c r="V445" s="2" t="n">
        <v>1460000</v>
      </c>
      <c r="W445" s="2" t="n">
        <v>342660</v>
      </c>
      <c r="X445" s="2" t="n">
        <v>80940</v>
      </c>
      <c r="Z445" s="2" t="n">
        <v>1750000</v>
      </c>
      <c r="AA445" s="2" t="n">
        <v>11900000</v>
      </c>
      <c r="AB445" s="2" t="n">
        <v>4840000</v>
      </c>
      <c r="AC445" s="2" t="n">
        <v>10100000</v>
      </c>
      <c r="AD445" s="2" t="n">
        <v>1140000</v>
      </c>
      <c r="AE445" s="2" t="n">
        <v>71430</v>
      </c>
      <c r="AF445" s="2" t="n">
        <v>425460</v>
      </c>
    </row>
    <row r="446">
      <c r="A446" s="2" t="inlineStr">
        <is>
          <t>02/09/2025</t>
        </is>
      </c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>
        <v>95680000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Z446" s="2" t="n"/>
      <c r="AA446" s="2" t="n"/>
      <c r="AB446" s="2" t="n"/>
      <c r="AC446" s="2" t="n"/>
      <c r="AD446" s="2" t="n"/>
      <c r="AE446" s="2" t="n">
        <v>48380</v>
      </c>
      <c r="AF446" s="2" t="n">
        <v>423070</v>
      </c>
    </row>
    <row r="447">
      <c r="A447" s="2" t="inlineStr">
        <is>
          <t>02/08/2025</t>
        </is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>
        <v>90140000</v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Z447" s="2" t="n"/>
      <c r="AA447" s="2" t="n"/>
      <c r="AB447" s="2" t="n"/>
      <c r="AC447" s="2" t="n"/>
      <c r="AD447" s="2" t="n"/>
      <c r="AE447" s="2" t="n">
        <v>38990</v>
      </c>
      <c r="AF447" s="2" t="n">
        <v>403820</v>
      </c>
    </row>
    <row r="448">
      <c r="A448" s="2" t="inlineStr">
        <is>
          <t>02/07/2025</t>
        </is>
      </c>
      <c r="B448" s="2" t="n">
        <v>93000</v>
      </c>
      <c r="C448" s="2" t="n">
        <v>177440</v>
      </c>
      <c r="D448" s="2" t="n">
        <v>17370</v>
      </c>
      <c r="E448" s="2" t="n">
        <v>6760000</v>
      </c>
      <c r="F448" s="2" t="n">
        <v>847780</v>
      </c>
      <c r="G448" s="2" t="n"/>
      <c r="H448" s="2" t="n"/>
      <c r="I448" s="2" t="n"/>
      <c r="J448" s="2" t="n">
        <v>228220000</v>
      </c>
      <c r="K448" s="2" t="n">
        <v>2410000</v>
      </c>
      <c r="L448" s="2" t="n"/>
      <c r="M448" s="2" t="n">
        <v>85620</v>
      </c>
      <c r="N448" s="2" t="n"/>
      <c r="O448" s="2" t="n">
        <v>1530000</v>
      </c>
      <c r="P448" s="2" t="n">
        <v>890720</v>
      </c>
      <c r="Q448" s="2" t="n">
        <v>37630</v>
      </c>
      <c r="R448" s="2" t="n">
        <v>178860</v>
      </c>
      <c r="S448" s="2" t="n">
        <v>693030</v>
      </c>
      <c r="T448" s="2" t="n">
        <v>12940</v>
      </c>
      <c r="U448" s="2" t="n">
        <v>3390000</v>
      </c>
      <c r="V448" s="2" t="n">
        <v>1010000</v>
      </c>
      <c r="W448" s="2" t="n">
        <v>302860</v>
      </c>
      <c r="X448" s="2" t="n">
        <v>76080</v>
      </c>
      <c r="Z448" s="2" t="n">
        <v>2460000</v>
      </c>
      <c r="AA448" s="2" t="n">
        <v>14970000</v>
      </c>
      <c r="AB448" s="2" t="n">
        <v>5880000</v>
      </c>
      <c r="AC448" s="2" t="n">
        <v>15050000</v>
      </c>
      <c r="AD448" s="2" t="n">
        <v>950730</v>
      </c>
      <c r="AE448" s="2" t="n">
        <v>97600</v>
      </c>
      <c r="AF448" s="2" t="n">
        <v>745290</v>
      </c>
    </row>
    <row r="449">
      <c r="A449" s="2" t="inlineStr">
        <is>
          <t>02/06/2025</t>
        </is>
      </c>
      <c r="B449" s="2" t="n">
        <v>96360</v>
      </c>
      <c r="C449" s="2" t="n">
        <v>312900</v>
      </c>
      <c r="D449" s="2" t="n">
        <v>12890</v>
      </c>
      <c r="E449" s="2" t="n">
        <v>5800000</v>
      </c>
      <c r="F449" s="2" t="n">
        <v>658880</v>
      </c>
      <c r="G449" s="2" t="n"/>
      <c r="H449" s="2" t="n"/>
      <c r="I449" s="2" t="n"/>
      <c r="J449" s="2" t="n">
        <v>238870000</v>
      </c>
      <c r="K449" s="2" t="n">
        <v>4530000</v>
      </c>
      <c r="L449" s="2" t="n"/>
      <c r="M449" s="2" t="n">
        <v>149060</v>
      </c>
      <c r="N449" s="2" t="n"/>
      <c r="O449" s="2" t="n">
        <v>2260000</v>
      </c>
      <c r="P449" s="2" t="n">
        <v>941310</v>
      </c>
      <c r="Q449" s="2" t="n">
        <v>21300</v>
      </c>
      <c r="R449" s="2" t="n">
        <v>90430</v>
      </c>
      <c r="S449" s="2" t="n">
        <v>996850</v>
      </c>
      <c r="T449" s="2" t="n">
        <v>16400</v>
      </c>
      <c r="U449" s="2" t="n">
        <v>2930000</v>
      </c>
      <c r="V449" s="2" t="n">
        <v>921160</v>
      </c>
      <c r="W449" s="2" t="n">
        <v>350270</v>
      </c>
      <c r="X449" s="2" t="n">
        <v>147440</v>
      </c>
      <c r="Z449" s="2" t="n">
        <v>2490000</v>
      </c>
      <c r="AA449" s="2" t="n">
        <v>13420000</v>
      </c>
      <c r="AB449" s="2" t="n">
        <v>4580000</v>
      </c>
      <c r="AC449" s="2" t="n">
        <v>12800000</v>
      </c>
      <c r="AD449" s="2" t="n">
        <v>1170000</v>
      </c>
      <c r="AE449" s="2" t="n">
        <v>76920</v>
      </c>
      <c r="AF449" s="2" t="n">
        <v>772850</v>
      </c>
    </row>
    <row r="450">
      <c r="A450" s="2" t="inlineStr">
        <is>
          <t>02/05/2025</t>
        </is>
      </c>
      <c r="B450" s="2" t="n">
        <v>77770</v>
      </c>
      <c r="C450" s="2" t="n">
        <v>286820</v>
      </c>
      <c r="D450" s="2" t="n">
        <v>14640</v>
      </c>
      <c r="E450" s="2" t="n">
        <v>7100000</v>
      </c>
      <c r="F450" s="2" t="n">
        <v>295690</v>
      </c>
      <c r="G450" s="2" t="n"/>
      <c r="H450" s="2" t="n"/>
      <c r="I450" s="2" t="n"/>
      <c r="J450" s="2" t="n">
        <v>183390000</v>
      </c>
      <c r="K450" s="2" t="n">
        <v>3200000</v>
      </c>
      <c r="L450" s="2" t="n"/>
      <c r="M450" s="2" t="n">
        <v>117080</v>
      </c>
      <c r="N450" s="2" t="n"/>
      <c r="O450" s="2" t="n">
        <v>1770000</v>
      </c>
      <c r="P450" s="2" t="n">
        <v>1020000</v>
      </c>
      <c r="Q450" s="2" t="n">
        <v>29490</v>
      </c>
      <c r="R450" s="2" t="n">
        <v>118520</v>
      </c>
      <c r="S450" s="2" t="n">
        <v>1000000</v>
      </c>
      <c r="T450" s="2" t="n">
        <v>15530</v>
      </c>
      <c r="U450" s="2" t="n">
        <v>3920000</v>
      </c>
      <c r="V450" s="2" t="n">
        <v>870090</v>
      </c>
      <c r="W450" s="2" t="n">
        <v>432790</v>
      </c>
      <c r="X450" s="2" t="n">
        <v>123370</v>
      </c>
      <c r="Z450" s="2" t="n">
        <v>1900000</v>
      </c>
      <c r="AA450" s="2" t="n">
        <v>10940000</v>
      </c>
      <c r="AB450" s="2" t="n">
        <v>11550000</v>
      </c>
      <c r="AC450" s="2" t="n">
        <v>10970000</v>
      </c>
      <c r="AD450" s="2" t="n">
        <v>1730000</v>
      </c>
      <c r="AE450" s="2" t="n">
        <v>82920</v>
      </c>
      <c r="AF450" s="2" t="n">
        <v>731420</v>
      </c>
    </row>
    <row r="451">
      <c r="A451" s="2" t="inlineStr">
        <is>
          <t>02/04/2025</t>
        </is>
      </c>
      <c r="B451" s="2" t="n">
        <v>127800</v>
      </c>
      <c r="C451" s="2" t="n">
        <v>264970</v>
      </c>
      <c r="D451" s="2" t="n">
        <v>12380</v>
      </c>
      <c r="E451" s="2" t="n">
        <v>7870000</v>
      </c>
      <c r="F451" s="2" t="n">
        <v>97390</v>
      </c>
      <c r="G451" s="2" t="n"/>
      <c r="H451" s="2" t="n"/>
      <c r="I451" s="2" t="n"/>
      <c r="J451" s="2" t="n">
        <v>250440000</v>
      </c>
      <c r="K451" s="2" t="n">
        <v>2310000</v>
      </c>
      <c r="L451" s="2" t="n"/>
      <c r="M451" s="2" t="n">
        <v>157630</v>
      </c>
      <c r="N451" s="2" t="n"/>
      <c r="O451" s="2" t="n">
        <v>2320000</v>
      </c>
      <c r="P451" s="2" t="n">
        <v>1870000</v>
      </c>
      <c r="Q451" s="2" t="n">
        <v>30620</v>
      </c>
      <c r="R451" s="2" t="n">
        <v>195800</v>
      </c>
      <c r="S451" s="2" t="n">
        <v>913340</v>
      </c>
      <c r="T451" s="2" t="n">
        <v>88740</v>
      </c>
      <c r="U451" s="2" t="n">
        <v>3350000</v>
      </c>
      <c r="V451" s="2" t="n">
        <v>1790000</v>
      </c>
      <c r="W451" s="2" t="n">
        <v>482660</v>
      </c>
      <c r="X451" s="2" t="n">
        <v>178210</v>
      </c>
      <c r="Z451" s="2" t="n">
        <v>1610000</v>
      </c>
      <c r="AA451" s="2" t="n">
        <v>11510000</v>
      </c>
      <c r="AB451" s="2" t="n">
        <v>5340000</v>
      </c>
      <c r="AC451" s="2" t="n">
        <v>12490000</v>
      </c>
      <c r="AD451" s="2" t="n">
        <v>792640</v>
      </c>
      <c r="AE451" s="2" t="n">
        <v>117350</v>
      </c>
      <c r="AF451" s="2" t="n">
        <v>1330000</v>
      </c>
    </row>
    <row r="452">
      <c r="A452" s="2" t="inlineStr">
        <is>
          <t>02/03/2025</t>
        </is>
      </c>
      <c r="B452" s="2" t="n">
        <v>57350</v>
      </c>
      <c r="C452" s="2" t="n">
        <v>418700</v>
      </c>
      <c r="D452" s="2" t="n">
        <v>19790</v>
      </c>
      <c r="E452" s="2" t="n">
        <v>16440000</v>
      </c>
      <c r="F452" s="2" t="n">
        <v>208030</v>
      </c>
      <c r="G452" s="2" t="n"/>
      <c r="H452" s="2" t="n"/>
      <c r="I452" s="2" t="n"/>
      <c r="J452" s="2" t="n">
        <v>513110000</v>
      </c>
      <c r="K452" s="2" t="n">
        <v>2450000</v>
      </c>
      <c r="L452" s="2" t="n"/>
      <c r="M452" s="2" t="n">
        <v>270350</v>
      </c>
      <c r="N452" s="2" t="n"/>
      <c r="O452" s="2" t="n">
        <v>3430000</v>
      </c>
      <c r="P452" s="2" t="n">
        <v>1440000</v>
      </c>
      <c r="Q452" s="2" t="n">
        <v>43670</v>
      </c>
      <c r="R452" s="2" t="n">
        <v>386550</v>
      </c>
      <c r="S452" s="2" t="n">
        <v>1170000</v>
      </c>
      <c r="T452" s="2" t="n">
        <v>50760</v>
      </c>
      <c r="U452" s="2" t="n">
        <v>3050000</v>
      </c>
      <c r="V452" s="2" t="n">
        <v>1560000</v>
      </c>
      <c r="W452" s="2" t="n">
        <v>588740</v>
      </c>
      <c r="X452" s="2" t="n">
        <v>179580</v>
      </c>
      <c r="Z452" s="2" t="n">
        <v>2450000</v>
      </c>
      <c r="AA452" s="2" t="n">
        <v>19750000</v>
      </c>
      <c r="AB452" s="2" t="n">
        <v>10210000</v>
      </c>
      <c r="AC452" s="2" t="n">
        <v>18210000</v>
      </c>
      <c r="AD452" s="2" t="n">
        <v>1410000</v>
      </c>
      <c r="AE452" s="2" t="n">
        <v>190810</v>
      </c>
      <c r="AF452" s="2" t="n">
        <v>3000000</v>
      </c>
    </row>
    <row r="453">
      <c r="A453" s="2" t="inlineStr">
        <is>
          <t>02/02/2025</t>
        </is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>
        <v>283500000</v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Z453" s="2" t="n"/>
      <c r="AA453" s="2" t="n"/>
      <c r="AB453" s="2" t="n"/>
      <c r="AC453" s="2" t="n"/>
      <c r="AD453" s="2" t="n"/>
      <c r="AE453" s="2" t="n">
        <v>99360</v>
      </c>
      <c r="AF453" s="2" t="n">
        <v>1170000</v>
      </c>
    </row>
    <row r="454">
      <c r="A454" s="2" t="inlineStr">
        <is>
          <t>02/01/2025</t>
        </is>
      </c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>
        <v>151490000</v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Z454" s="2" t="n"/>
      <c r="AA454" s="2" t="n"/>
      <c r="AB454" s="2" t="n"/>
      <c r="AC454" s="2" t="n"/>
      <c r="AD454" s="2" t="n"/>
      <c r="AE454" s="2" t="n">
        <v>47480</v>
      </c>
      <c r="AF454" s="2" t="n">
        <v>377660</v>
      </c>
    </row>
    <row r="455">
      <c r="A455" s="2" t="inlineStr">
        <is>
          <t>01/31/2025</t>
        </is>
      </c>
      <c r="B455" s="2" t="n">
        <v>60030</v>
      </c>
      <c r="C455" s="2" t="n">
        <v>461430</v>
      </c>
      <c r="D455" s="2" t="n">
        <v>19090</v>
      </c>
      <c r="E455" s="2" t="n">
        <v>12460000</v>
      </c>
      <c r="F455" s="2" t="n"/>
      <c r="G455" s="2" t="n"/>
      <c r="H455" s="2" t="n"/>
      <c r="I455" s="2" t="n"/>
      <c r="J455" s="2" t="n">
        <v>202720000</v>
      </c>
      <c r="K455" s="2" t="n">
        <v>1020000</v>
      </c>
      <c r="L455" s="2" t="n"/>
      <c r="M455" s="2" t="n">
        <v>137580</v>
      </c>
      <c r="N455" s="2" t="n"/>
      <c r="O455" s="2" t="n">
        <v>2550000</v>
      </c>
      <c r="P455" s="2" t="n">
        <v>1180000</v>
      </c>
      <c r="Q455" s="2" t="n">
        <v>39520</v>
      </c>
      <c r="R455" s="2" t="n">
        <v>164740</v>
      </c>
      <c r="S455" s="2" t="n">
        <v>967110</v>
      </c>
      <c r="T455" s="2" t="n">
        <v>73100</v>
      </c>
      <c r="U455" s="2" t="n">
        <v>2940000</v>
      </c>
      <c r="V455" s="2" t="n">
        <v>1280000</v>
      </c>
      <c r="W455" s="2" t="n">
        <v>528380</v>
      </c>
      <c r="X455" s="2" t="n">
        <v>45610</v>
      </c>
      <c r="Z455" s="2" t="n">
        <v>3520000</v>
      </c>
      <c r="AA455" s="2" t="n">
        <v>15450000</v>
      </c>
      <c r="AB455" s="2" t="n">
        <v>7300000</v>
      </c>
      <c r="AC455" s="2" t="n">
        <v>15570000</v>
      </c>
      <c r="AD455" s="2" t="n">
        <v>1040000</v>
      </c>
      <c r="AE455" s="2" t="n">
        <v>82790</v>
      </c>
      <c r="AF455" s="2" t="n">
        <v>700310</v>
      </c>
    </row>
    <row r="456">
      <c r="A456" s="2" t="inlineStr">
        <is>
          <t>01/30/2025</t>
        </is>
      </c>
      <c r="B456" s="2" t="n"/>
      <c r="C456" s="2" t="n"/>
      <c r="D456" s="2" t="n"/>
      <c r="E456" s="2" t="n">
        <v>8039999.999999999</v>
      </c>
      <c r="F456" s="2" t="n"/>
      <c r="G456" s="2" t="n"/>
      <c r="H456" s="2" t="n"/>
      <c r="I456" s="2" t="n"/>
      <c r="J456" s="2" t="n">
        <v>113350000</v>
      </c>
      <c r="K456" s="2" t="n"/>
      <c r="L456" s="2" t="n"/>
      <c r="M456" s="2" t="n"/>
      <c r="N456" s="2" t="n"/>
      <c r="O456" s="2" t="n">
        <v>1600000</v>
      </c>
      <c r="P456" s="2" t="n">
        <v>827820</v>
      </c>
      <c r="Q456" s="2" t="n"/>
      <c r="R456" s="2" t="n"/>
      <c r="S456" s="2" t="n"/>
      <c r="T456" s="2" t="n"/>
      <c r="U456" s="2" t="n"/>
      <c r="V456" s="2" t="n"/>
      <c r="W456" s="2" t="n"/>
      <c r="X456" s="2" t="n"/>
      <c r="Z456" s="2" t="n">
        <v>2120000</v>
      </c>
      <c r="AA456" s="2" t="n">
        <v>15500000</v>
      </c>
      <c r="AB456" s="2" t="n">
        <v>6470000</v>
      </c>
      <c r="AC456" s="2" t="n">
        <v>12610000</v>
      </c>
      <c r="AD456" s="2" t="n">
        <v>1080000</v>
      </c>
      <c r="AE456" s="2" t="n">
        <v>74840</v>
      </c>
      <c r="AF456" s="2" t="n">
        <v>386530</v>
      </c>
    </row>
    <row r="457">
      <c r="A457" s="2" t="inlineStr">
        <is>
          <t>01/29/2025</t>
        </is>
      </c>
      <c r="B457" s="2" t="n"/>
      <c r="C457" s="2" t="n"/>
      <c r="D457" s="2" t="n"/>
      <c r="E457" s="2" t="n">
        <v>3980000</v>
      </c>
      <c r="F457" s="2" t="n"/>
      <c r="G457" s="2" t="n"/>
      <c r="H457" s="2" t="n"/>
      <c r="I457" s="2" t="n"/>
      <c r="J457" s="2" t="n">
        <v>102820000</v>
      </c>
      <c r="K457" s="2" t="n"/>
      <c r="L457" s="2" t="n"/>
      <c r="M457" s="2" t="n"/>
      <c r="N457" s="2" t="n"/>
      <c r="O457" s="2" t="n">
        <v>1660000</v>
      </c>
      <c r="P457" s="2" t="n">
        <v>1030000</v>
      </c>
      <c r="Q457" s="2" t="n"/>
      <c r="R457" s="2" t="n"/>
      <c r="S457" s="2" t="n"/>
      <c r="T457" s="2" t="n"/>
      <c r="U457" s="2" t="n"/>
      <c r="V457" s="2" t="n"/>
      <c r="W457" s="2" t="n"/>
      <c r="X457" s="2" t="n"/>
      <c r="Z457" s="2" t="n">
        <v>2330000</v>
      </c>
      <c r="AA457" s="2" t="n">
        <v>11720000</v>
      </c>
      <c r="AB457" s="2" t="n">
        <v>4660000</v>
      </c>
      <c r="AC457" s="2" t="n">
        <v>11720000</v>
      </c>
      <c r="AD457" s="2" t="n">
        <v>822390</v>
      </c>
      <c r="AE457" s="2" t="n">
        <v>74380</v>
      </c>
      <c r="AF457" s="2" t="n">
        <v>449520</v>
      </c>
    </row>
    <row r="458">
      <c r="A458" s="2" t="inlineStr">
        <is>
          <t>01/28/2025</t>
        </is>
      </c>
      <c r="B458" s="2" t="n"/>
      <c r="C458" s="2" t="n"/>
      <c r="D458" s="2" t="n"/>
      <c r="E458" s="2" t="n">
        <v>5860000</v>
      </c>
      <c r="F458" s="2" t="n"/>
      <c r="G458" s="2" t="n"/>
      <c r="H458" s="2" t="n"/>
      <c r="I458" s="2" t="n"/>
      <c r="J458" s="2" t="n">
        <v>162020000</v>
      </c>
      <c r="K458" s="2" t="n"/>
      <c r="L458" s="2" t="n"/>
      <c r="M458" s="2" t="n"/>
      <c r="N458" s="2" t="n"/>
      <c r="O458" s="2" t="n">
        <v>925490</v>
      </c>
      <c r="P458" s="2" t="n">
        <v>771870</v>
      </c>
      <c r="Q458" s="2" t="n"/>
      <c r="R458" s="2" t="n"/>
      <c r="S458" s="2" t="n"/>
      <c r="T458" s="2" t="n"/>
      <c r="U458" s="2" t="n"/>
      <c r="V458" s="2" t="n"/>
      <c r="W458" s="2" t="n"/>
      <c r="X458" s="2" t="n"/>
      <c r="Z458" s="2" t="n">
        <v>2490000</v>
      </c>
      <c r="AA458" s="2" t="n">
        <v>14750000</v>
      </c>
      <c r="AB458" s="2" t="n">
        <v>4710000</v>
      </c>
      <c r="AC458" s="2" t="n">
        <v>11460000</v>
      </c>
      <c r="AD458" s="2" t="n">
        <v>784140</v>
      </c>
      <c r="AE458" s="2" t="n">
        <v>74690</v>
      </c>
      <c r="AF458" s="2" t="n">
        <v>386370</v>
      </c>
    </row>
    <row r="459">
      <c r="A459" s="2" t="inlineStr">
        <is>
          <t>01/27/2025</t>
        </is>
      </c>
      <c r="B459" s="2" t="n"/>
      <c r="C459" s="2" t="n"/>
      <c r="D459" s="2" t="n"/>
      <c r="E459" s="2" t="n">
        <v>9440000</v>
      </c>
      <c r="F459" s="2" t="n"/>
      <c r="G459" s="2" t="n"/>
      <c r="H459" s="2" t="n"/>
      <c r="I459" s="2" t="n"/>
      <c r="J459" s="2" t="n">
        <v>342250000</v>
      </c>
      <c r="K459" s="2" t="n"/>
      <c r="L459" s="2" t="n"/>
      <c r="M459" s="2" t="n"/>
      <c r="N459" s="2" t="n"/>
      <c r="O459" s="2" t="n">
        <v>1890000</v>
      </c>
      <c r="P459" s="2" t="n">
        <v>1050000</v>
      </c>
      <c r="Q459" s="2" t="n"/>
      <c r="R459" s="2" t="n"/>
      <c r="S459" s="2" t="n"/>
      <c r="T459" s="2" t="n"/>
      <c r="U459" s="2" t="n"/>
      <c r="V459" s="2" t="n"/>
      <c r="W459" s="2" t="n"/>
      <c r="X459" s="2" t="n"/>
      <c r="Z459" s="2" t="n">
        <v>5210000</v>
      </c>
      <c r="AA459" s="2" t="n">
        <v>21060000</v>
      </c>
      <c r="AB459" s="2" t="n">
        <v>9050000</v>
      </c>
      <c r="AC459" s="2" t="n">
        <v>21220000</v>
      </c>
      <c r="AD459" s="2" t="n">
        <v>1480000</v>
      </c>
      <c r="AE459" s="2" t="n">
        <v>146380</v>
      </c>
      <c r="AF459" s="2" t="n">
        <v>819620</v>
      </c>
    </row>
    <row r="460">
      <c r="A460" s="2" t="inlineStr">
        <is>
          <t>01/26/2025</t>
        </is>
      </c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>
        <v>110030000</v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Z460" s="2" t="n"/>
      <c r="AA460" s="2" t="n"/>
      <c r="AB460" s="2" t="n"/>
      <c r="AC460" s="2" t="n"/>
      <c r="AD460" s="2" t="n"/>
      <c r="AE460" s="2" t="n">
        <v>32180</v>
      </c>
      <c r="AF460" s="2" t="n">
        <v>288830</v>
      </c>
    </row>
    <row r="461">
      <c r="A461" s="2" t="inlineStr">
        <is>
          <t>01/25/2025</t>
        </is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>
        <v>127840000</v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Z461" s="2" t="n"/>
      <c r="AA461" s="2" t="n"/>
      <c r="AB461" s="2" t="n"/>
      <c r="AC461" s="2" t="n"/>
      <c r="AD461" s="2" t="n"/>
      <c r="AE461" s="2" t="n">
        <v>37680</v>
      </c>
      <c r="AF461" s="2" t="n">
        <v>225910</v>
      </c>
    </row>
    <row r="462">
      <c r="A462" s="2" t="inlineStr">
        <is>
          <t>01/24/2025</t>
        </is>
      </c>
      <c r="B462" s="2" t="n">
        <v>111010</v>
      </c>
      <c r="C462" s="2" t="n">
        <v>431230</v>
      </c>
      <c r="D462" s="2" t="n">
        <v>15600</v>
      </c>
      <c r="E462" s="2" t="n">
        <v>6380000</v>
      </c>
      <c r="F462" s="2" t="n"/>
      <c r="G462" s="2" t="n"/>
      <c r="H462" s="2" t="n"/>
      <c r="I462" s="2" t="n"/>
      <c r="J462" s="2" t="n">
        <v>219140000</v>
      </c>
      <c r="K462" s="2" t="n">
        <v>764670</v>
      </c>
      <c r="L462" s="2" t="n"/>
      <c r="M462" s="2" t="n">
        <v>127500</v>
      </c>
      <c r="N462" s="2" t="n"/>
      <c r="O462" s="2" t="n">
        <v>1930000</v>
      </c>
      <c r="P462" s="2" t="n">
        <v>969830</v>
      </c>
      <c r="Q462" s="2" t="n">
        <v>17630</v>
      </c>
      <c r="R462" s="2" t="n">
        <v>102300</v>
      </c>
      <c r="S462" s="2" t="n">
        <v>773420</v>
      </c>
      <c r="T462" s="2" t="n">
        <v>24600</v>
      </c>
      <c r="U462" s="2" t="n">
        <v>3060000</v>
      </c>
      <c r="V462" s="2" t="n">
        <v>1440000</v>
      </c>
      <c r="W462" s="2" t="n">
        <v>343820</v>
      </c>
      <c r="X462" s="2" t="n">
        <v>45010</v>
      </c>
      <c r="Z462" s="2" t="n">
        <v>1850000</v>
      </c>
      <c r="AA462" s="2" t="n">
        <v>11740000</v>
      </c>
      <c r="AB462" s="2" t="n">
        <v>9430000</v>
      </c>
      <c r="AC462" s="2" t="n">
        <v>22940000</v>
      </c>
      <c r="AD462" s="2" t="n">
        <v>937300</v>
      </c>
      <c r="AE462" s="2" t="n">
        <v>83960</v>
      </c>
      <c r="AF462" s="2" t="n">
        <v>497870</v>
      </c>
    </row>
    <row r="463">
      <c r="A463" s="2" t="inlineStr">
        <is>
          <t>01/23/2025</t>
        </is>
      </c>
      <c r="B463" s="2" t="n">
        <v>98630</v>
      </c>
      <c r="C463" s="2" t="n">
        <v>189990</v>
      </c>
      <c r="D463" s="2" t="n">
        <v>20120</v>
      </c>
      <c r="E463" s="2" t="n">
        <v>5090000</v>
      </c>
      <c r="F463" s="2" t="n"/>
      <c r="G463" s="2" t="n"/>
      <c r="H463" s="2" t="n"/>
      <c r="I463" s="2" t="n"/>
      <c r="J463" s="2" t="n">
        <v>213880000</v>
      </c>
      <c r="K463" s="2" t="n">
        <v>489880</v>
      </c>
      <c r="L463" s="2" t="n"/>
      <c r="M463" s="2" t="n">
        <v>76020</v>
      </c>
      <c r="N463" s="2" t="n"/>
      <c r="O463" s="2" t="n">
        <v>2220000</v>
      </c>
      <c r="P463" s="2" t="n">
        <v>1440000</v>
      </c>
      <c r="Q463" s="2" t="n">
        <v>23930</v>
      </c>
      <c r="R463" s="2" t="n">
        <v>95460</v>
      </c>
      <c r="S463" s="2" t="n">
        <v>592570</v>
      </c>
      <c r="T463" s="2" t="n">
        <v>22380</v>
      </c>
      <c r="U463" s="2" t="n">
        <v>2090000</v>
      </c>
      <c r="V463" s="2" t="n">
        <v>765920</v>
      </c>
      <c r="W463" s="2" t="n">
        <v>307870</v>
      </c>
      <c r="X463" s="2" t="n">
        <v>72640</v>
      </c>
      <c r="Z463" s="2" t="n">
        <v>1910000</v>
      </c>
      <c r="AA463" s="2" t="n">
        <v>14820000</v>
      </c>
      <c r="AB463" s="2" t="n">
        <v>5220000</v>
      </c>
      <c r="AC463" s="2" t="n">
        <v>23310000</v>
      </c>
      <c r="AD463" s="2" t="n">
        <v>1150000</v>
      </c>
      <c r="AE463" s="2" t="n">
        <v>141800</v>
      </c>
      <c r="AF463" s="2" t="n">
        <v>672000</v>
      </c>
    </row>
    <row r="464">
      <c r="A464" s="2" t="inlineStr">
        <is>
          <t>01/22/2025</t>
        </is>
      </c>
      <c r="B464" s="2" t="n">
        <v>73120</v>
      </c>
      <c r="C464" s="2" t="n">
        <v>329770</v>
      </c>
      <c r="D464" s="2" t="n">
        <v>17040</v>
      </c>
      <c r="E464" s="2" t="n">
        <v>5720000</v>
      </c>
      <c r="F464" s="2" t="n"/>
      <c r="G464" s="2" t="n"/>
      <c r="H464" s="2" t="n"/>
      <c r="I464" s="2" t="n"/>
      <c r="J464" s="2" t="n">
        <v>178890000</v>
      </c>
      <c r="K464" s="2" t="n">
        <v>522429.9999999999</v>
      </c>
      <c r="L464" s="2" t="n"/>
      <c r="M464" s="2" t="n">
        <v>123490</v>
      </c>
      <c r="N464" s="2" t="n"/>
      <c r="O464" s="2" t="n">
        <v>1950000</v>
      </c>
      <c r="P464" s="2" t="n">
        <v>1120000</v>
      </c>
      <c r="Q464" s="2" t="n">
        <v>20450</v>
      </c>
      <c r="R464" s="2" t="n">
        <v>138570</v>
      </c>
      <c r="S464" s="2" t="n">
        <v>731010</v>
      </c>
      <c r="T464" s="2" t="n">
        <v>109470</v>
      </c>
      <c r="U464" s="2" t="n">
        <v>2270000</v>
      </c>
      <c r="V464" s="2" t="n">
        <v>1370000</v>
      </c>
      <c r="W464" s="2" t="n">
        <v>372680</v>
      </c>
      <c r="X464" s="2" t="n">
        <v>78730</v>
      </c>
      <c r="Z464" s="2" t="n">
        <v>2430000</v>
      </c>
      <c r="AA464" s="2" t="n">
        <v>15660000</v>
      </c>
      <c r="AB464" s="2" t="n">
        <v>8730000</v>
      </c>
      <c r="AC464" s="2" t="n">
        <v>16000000</v>
      </c>
      <c r="AD464" s="2" t="n">
        <v>760750</v>
      </c>
      <c r="AE464" s="2" t="n">
        <v>77560</v>
      </c>
      <c r="AF464" s="2" t="n">
        <v>373500</v>
      </c>
    </row>
    <row r="465">
      <c r="A465" s="2" t="inlineStr">
        <is>
          <t>01/21/2025</t>
        </is>
      </c>
      <c r="B465" s="2" t="n">
        <v>63090</v>
      </c>
      <c r="C465" s="2" t="n">
        <v>378810</v>
      </c>
      <c r="D465" s="2" t="n">
        <v>20200</v>
      </c>
      <c r="E465" s="2" t="n">
        <v>7950000</v>
      </c>
      <c r="F465" s="2" t="n"/>
      <c r="G465" s="2" t="n"/>
      <c r="H465" s="2" t="n"/>
      <c r="I465" s="2" t="n"/>
      <c r="J465" s="2" t="n">
        <v>325430000</v>
      </c>
      <c r="K465" s="2" t="n">
        <v>495970</v>
      </c>
      <c r="L465" s="2" t="n"/>
      <c r="M465" s="2" t="n">
        <v>82790</v>
      </c>
      <c r="N465" s="2" t="n"/>
      <c r="O465" s="2" t="n">
        <v>2680000</v>
      </c>
      <c r="P465" s="2" t="n">
        <v>1250000</v>
      </c>
      <c r="Q465" s="2" t="n">
        <v>31710</v>
      </c>
      <c r="R465" s="2" t="n">
        <v>168270</v>
      </c>
      <c r="S465" s="2" t="n">
        <v>938810</v>
      </c>
      <c r="T465" s="2" t="n">
        <v>96070</v>
      </c>
      <c r="U465" s="2" t="n">
        <v>4170000</v>
      </c>
      <c r="V465" s="2" t="n">
        <v>1800000</v>
      </c>
      <c r="W465" s="2" t="n">
        <v>396190</v>
      </c>
      <c r="X465" s="2" t="n">
        <v>132810</v>
      </c>
      <c r="Z465" s="2" t="n">
        <v>2070000</v>
      </c>
      <c r="AA465" s="2" t="n">
        <v>21390000</v>
      </c>
      <c r="AB465" s="2" t="n">
        <v>12450000</v>
      </c>
      <c r="AC465" s="2" t="n">
        <v>26220000</v>
      </c>
      <c r="AD465" s="2" t="n">
        <v>2110000</v>
      </c>
      <c r="AE465" s="2" t="n">
        <v>129360</v>
      </c>
      <c r="AF465" s="2" t="n">
        <v>597360</v>
      </c>
    </row>
    <row r="466">
      <c r="A466" s="2" t="inlineStr">
        <is>
          <t>01/20/2025</t>
        </is>
      </c>
      <c r="B466" s="2" t="n">
        <v>66480</v>
      </c>
      <c r="C466" s="2" t="n">
        <v>249360</v>
      </c>
      <c r="D466" s="2" t="n">
        <v>31300</v>
      </c>
      <c r="E466" s="2" t="n"/>
      <c r="F466" s="2" t="n"/>
      <c r="G466" s="2" t="n"/>
      <c r="H466" s="2" t="n"/>
      <c r="I466" s="2" t="n"/>
      <c r="J466" s="2" t="n">
        <v>424920000</v>
      </c>
      <c r="K466" s="2" t="n">
        <v>552240</v>
      </c>
      <c r="L466" s="2" t="n"/>
      <c r="M466" s="2" t="n">
        <v>149020</v>
      </c>
      <c r="N466" s="2" t="n"/>
      <c r="O466" s="2" t="n"/>
      <c r="P466" s="2" t="n"/>
      <c r="Q466" s="2" t="n">
        <v>20200</v>
      </c>
      <c r="R466" s="2" t="n">
        <v>184300</v>
      </c>
      <c r="S466" s="2" t="n">
        <v>573050</v>
      </c>
      <c r="T466" s="2" t="n">
        <v>32720</v>
      </c>
      <c r="U466" s="2" t="n">
        <v>2190000</v>
      </c>
      <c r="V466" s="2" t="n">
        <v>1000000</v>
      </c>
      <c r="W466" s="2" t="n">
        <v>477890</v>
      </c>
      <c r="X466" s="2" t="n">
        <v>91290</v>
      </c>
      <c r="Z466" s="2" t="n"/>
      <c r="AA466" s="2" t="n"/>
      <c r="AB466" s="2" t="n"/>
      <c r="AC466" s="2" t="n"/>
      <c r="AD466" s="2" t="n"/>
      <c r="AE466" s="2" t="n">
        <v>202660</v>
      </c>
      <c r="AF466" s="2" t="n">
        <v>1260000</v>
      </c>
    </row>
    <row r="467">
      <c r="A467" s="2" t="inlineStr">
        <is>
          <t>01/19/2025</t>
        </is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>
        <v>423580000</v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Z467" s="2" t="n"/>
      <c r="AA467" s="2" t="n"/>
      <c r="AB467" s="2" t="n"/>
      <c r="AC467" s="2" t="n"/>
      <c r="AD467" s="2" t="n"/>
      <c r="AE467" s="2" t="n">
        <v>123720</v>
      </c>
      <c r="AF467" s="2" t="n">
        <v>1440000</v>
      </c>
    </row>
    <row r="468">
      <c r="A468" s="2" t="inlineStr">
        <is>
          <t>01/18/2025</t>
        </is>
      </c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>
        <v>282970000</v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Z468" s="2" t="n"/>
      <c r="AA468" s="2" t="n"/>
      <c r="AB468" s="2" t="n"/>
      <c r="AC468" s="2" t="n"/>
      <c r="AD468" s="2" t="n"/>
      <c r="AE468" s="2" t="n">
        <v>79300</v>
      </c>
      <c r="AF468" s="2" t="n">
        <v>677720</v>
      </c>
    </row>
    <row r="469">
      <c r="A469" s="2" t="inlineStr">
        <is>
          <t>01/17/2025</t>
        </is>
      </c>
      <c r="B469" s="2" t="n">
        <v>34370</v>
      </c>
      <c r="C469" s="2" t="n">
        <v>192670</v>
      </c>
      <c r="D469" s="2" t="n">
        <v>24360</v>
      </c>
      <c r="E469" s="2" t="n">
        <v>6560000</v>
      </c>
      <c r="F469" s="2" t="n"/>
      <c r="G469" s="2" t="n"/>
      <c r="H469" s="2" t="n"/>
      <c r="I469" s="2" t="n"/>
      <c r="J469" s="2" t="n">
        <v>212510000</v>
      </c>
      <c r="K469" s="2" t="n">
        <v>481720</v>
      </c>
      <c r="L469" s="2" t="n"/>
      <c r="M469" s="2" t="n">
        <v>67810</v>
      </c>
      <c r="N469" s="2" t="n"/>
      <c r="O469" s="2" t="n">
        <v>1590000</v>
      </c>
      <c r="P469" s="2" t="n">
        <v>903080</v>
      </c>
      <c r="Q469" s="2" t="n">
        <v>26420</v>
      </c>
      <c r="R469" s="2" t="n">
        <v>224950</v>
      </c>
      <c r="S469" s="2" t="n">
        <v>666120</v>
      </c>
      <c r="T469" s="2" t="n">
        <v>18110</v>
      </c>
      <c r="U469" s="2" t="n">
        <v>2660000</v>
      </c>
      <c r="V469" s="2" t="n">
        <v>1310000</v>
      </c>
      <c r="W469" s="2" t="n">
        <v>310310</v>
      </c>
      <c r="X469" s="2" t="n">
        <v>62680</v>
      </c>
      <c r="Z469" s="2" t="n">
        <v>1780000</v>
      </c>
      <c r="AA469" s="2" t="n">
        <v>15360000</v>
      </c>
      <c r="AB469" s="2" t="n">
        <v>3980000</v>
      </c>
      <c r="AC469" s="2" t="n">
        <v>24340000</v>
      </c>
      <c r="AD469" s="2" t="n">
        <v>1080000</v>
      </c>
      <c r="AE469" s="2" t="n">
        <v>127330</v>
      </c>
      <c r="AF469" s="2" t="n">
        <v>574060</v>
      </c>
    </row>
    <row r="470">
      <c r="A470" s="2" t="inlineStr">
        <is>
          <t>01/16/2025</t>
        </is>
      </c>
      <c r="B470" s="2" t="n">
        <v>45020</v>
      </c>
      <c r="C470" s="2" t="n">
        <v>262500</v>
      </c>
      <c r="D470" s="2" t="n">
        <v>21040</v>
      </c>
      <c r="E470" s="2" t="n">
        <v>5350000</v>
      </c>
      <c r="F470" s="2" t="n"/>
      <c r="G470" s="2" t="n"/>
      <c r="H470" s="2" t="n"/>
      <c r="I470" s="2" t="n"/>
      <c r="J470" s="2" t="n">
        <v>243500000</v>
      </c>
      <c r="K470" s="2" t="n">
        <v>628900</v>
      </c>
      <c r="L470" s="2" t="n"/>
      <c r="M470" s="2" t="n">
        <v>103860</v>
      </c>
      <c r="N470" s="2" t="n"/>
      <c r="O470" s="2" t="n">
        <v>5240000</v>
      </c>
      <c r="P470" s="2" t="n">
        <v>1530000</v>
      </c>
      <c r="Q470" s="2" t="n">
        <v>19420</v>
      </c>
      <c r="R470" s="2" t="n">
        <v>108670</v>
      </c>
      <c r="S470" s="2" t="n">
        <v>536140</v>
      </c>
      <c r="T470" s="2" t="n">
        <v>15700</v>
      </c>
      <c r="U470" s="2" t="n">
        <v>3450000</v>
      </c>
      <c r="V470" s="2" t="n">
        <v>1240000</v>
      </c>
      <c r="W470" s="2" t="n">
        <v>418380</v>
      </c>
      <c r="X470" s="2" t="n">
        <v>46700</v>
      </c>
      <c r="Z470" s="2" t="n">
        <v>1770000</v>
      </c>
      <c r="AA470" s="2" t="n">
        <v>13450000</v>
      </c>
      <c r="AB470" s="2" t="n">
        <v>4120000</v>
      </c>
      <c r="AC470" s="2" t="n">
        <v>14830000</v>
      </c>
      <c r="AD470" s="2" t="n">
        <v>1140000</v>
      </c>
      <c r="AE470" s="2" t="n">
        <v>87080</v>
      </c>
      <c r="AF470" s="2" t="n">
        <v>536740</v>
      </c>
    </row>
    <row r="471">
      <c r="A471" s="2" t="inlineStr">
        <is>
          <t>01/15/2025</t>
        </is>
      </c>
      <c r="B471" s="2" t="n">
        <v>46510</v>
      </c>
      <c r="C471" s="2" t="n">
        <v>411910</v>
      </c>
      <c r="D471" s="2" t="n">
        <v>27790</v>
      </c>
      <c r="E471" s="2" t="n">
        <v>6880000</v>
      </c>
      <c r="F471" s="2" t="n"/>
      <c r="G471" s="2" t="n"/>
      <c r="H471" s="2" t="n"/>
      <c r="I471" s="2" t="n"/>
      <c r="J471" s="2" t="n">
        <v>250580000</v>
      </c>
      <c r="K471" s="2" t="n">
        <v>697430</v>
      </c>
      <c r="L471" s="2" t="n"/>
      <c r="M471" s="2" t="n">
        <v>104690</v>
      </c>
      <c r="N471" s="2" t="n"/>
      <c r="O471" s="2" t="n">
        <v>2090000</v>
      </c>
      <c r="P471" s="2" t="n">
        <v>1270000</v>
      </c>
      <c r="Q471" s="2" t="n">
        <v>21890</v>
      </c>
      <c r="R471" s="2" t="n">
        <v>126680</v>
      </c>
      <c r="S471" s="2" t="n">
        <v>525840</v>
      </c>
      <c r="T471" s="2" t="n">
        <v>8180</v>
      </c>
      <c r="U471" s="2" t="n">
        <v>2680000</v>
      </c>
      <c r="V471" s="2" t="n">
        <v>1270000</v>
      </c>
      <c r="W471" s="2" t="n">
        <v>290380</v>
      </c>
      <c r="X471" s="2" t="n">
        <v>49310</v>
      </c>
      <c r="Z471" s="2" t="n">
        <v>1970000</v>
      </c>
      <c r="AA471" s="2" t="n">
        <v>12230000</v>
      </c>
      <c r="AB471" s="2" t="n">
        <v>6910000</v>
      </c>
      <c r="AC471" s="2" t="n">
        <v>19940000</v>
      </c>
      <c r="AD471" s="2" t="n">
        <v>797990</v>
      </c>
      <c r="AE471" s="2" t="n">
        <v>95320</v>
      </c>
      <c r="AF471" s="2" t="n">
        <v>527110</v>
      </c>
    </row>
    <row r="472">
      <c r="A472" s="2" t="inlineStr">
        <is>
          <t>01/14/2025</t>
        </is>
      </c>
      <c r="B472" s="2" t="n">
        <v>34340</v>
      </c>
      <c r="C472" s="2" t="n">
        <v>275790</v>
      </c>
      <c r="D472" s="2" t="n">
        <v>15030</v>
      </c>
      <c r="E472" s="2" t="n">
        <v>7250000</v>
      </c>
      <c r="F472" s="2" t="n"/>
      <c r="G472" s="2" t="n"/>
      <c r="H472" s="2" t="n"/>
      <c r="I472" s="2" t="n"/>
      <c r="J472" s="2" t="n">
        <v>179250000</v>
      </c>
      <c r="K472" s="2" t="n">
        <v>875150</v>
      </c>
      <c r="L472" s="2" t="n"/>
      <c r="M472" s="2" t="n">
        <v>86640</v>
      </c>
      <c r="N472" s="2" t="n"/>
      <c r="O472" s="2" t="n">
        <v>2040000</v>
      </c>
      <c r="P472" s="2" t="n">
        <v>1120000</v>
      </c>
      <c r="Q472" s="2" t="n">
        <v>25240</v>
      </c>
      <c r="R472" s="2" t="n">
        <v>98040</v>
      </c>
      <c r="S472" s="2" t="n">
        <v>591820</v>
      </c>
      <c r="T472" s="2" t="n">
        <v>16260</v>
      </c>
      <c r="U472" s="2" t="n">
        <v>3690000</v>
      </c>
      <c r="V472" s="2" t="n">
        <v>1450000</v>
      </c>
      <c r="W472" s="2" t="n">
        <v>319950</v>
      </c>
      <c r="X472" s="2" t="n">
        <v>50200</v>
      </c>
      <c r="Z472" s="2" t="n">
        <v>1650000</v>
      </c>
      <c r="AA472" s="2" t="n">
        <v>14080000</v>
      </c>
      <c r="AB472" s="2" t="n">
        <v>7410000</v>
      </c>
      <c r="AC472" s="2" t="n">
        <v>17890000</v>
      </c>
      <c r="AD472" s="2" t="n">
        <v>744180</v>
      </c>
      <c r="AE472" s="2" t="n">
        <v>87790</v>
      </c>
      <c r="AF472" s="2" t="n">
        <v>413870</v>
      </c>
    </row>
    <row r="473">
      <c r="A473" s="2" t="inlineStr">
        <is>
          <t>01/13/2025</t>
        </is>
      </c>
      <c r="B473" s="2" t="n">
        <v>26170</v>
      </c>
      <c r="C473" s="2" t="n">
        <v>393720</v>
      </c>
      <c r="D473" s="2" t="n">
        <v>30020</v>
      </c>
      <c r="E473" s="2" t="n">
        <v>7650000</v>
      </c>
      <c r="F473" s="2" t="n"/>
      <c r="G473" s="2" t="n"/>
      <c r="H473" s="2" t="n"/>
      <c r="I473" s="2" t="n"/>
      <c r="J473" s="2" t="n">
        <v>273020000</v>
      </c>
      <c r="K473" s="2" t="n">
        <v>918690</v>
      </c>
      <c r="L473" s="2" t="n"/>
      <c r="M473" s="2" t="n">
        <v>133550</v>
      </c>
      <c r="N473" s="2" t="n"/>
      <c r="O473" s="2" t="n">
        <v>2980000</v>
      </c>
      <c r="P473" s="2" t="n">
        <v>1270000</v>
      </c>
      <c r="Q473" s="2" t="n">
        <v>29760</v>
      </c>
      <c r="R473" s="2" t="n">
        <v>93420</v>
      </c>
      <c r="S473" s="2" t="n">
        <v>632890</v>
      </c>
      <c r="T473" s="2" t="n">
        <v>33260</v>
      </c>
      <c r="U473" s="2" t="n">
        <v>4470000</v>
      </c>
      <c r="V473" s="2" t="n">
        <v>1620000</v>
      </c>
      <c r="W473" s="2" t="n">
        <v>361840</v>
      </c>
      <c r="X473" s="2" t="n">
        <v>103280</v>
      </c>
      <c r="Z473" s="2" t="n">
        <v>1820000</v>
      </c>
      <c r="AA473" s="2" t="n">
        <v>17830000</v>
      </c>
      <c r="AB473" s="2" t="n">
        <v>10790000</v>
      </c>
      <c r="AC473" s="2" t="n">
        <v>15910000</v>
      </c>
      <c r="AD473" s="2" t="n">
        <v>2000000</v>
      </c>
      <c r="AE473" s="2" t="n">
        <v>37700</v>
      </c>
      <c r="AF473" s="2" t="n">
        <v>952500</v>
      </c>
    </row>
    <row r="474">
      <c r="A474" s="2" t="inlineStr">
        <is>
          <t>01/12/2025</t>
        </is>
      </c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Z474" s="2" t="n"/>
      <c r="AA474" s="2" t="n"/>
      <c r="AB474" s="2" t="n"/>
      <c r="AC474" s="2" t="n"/>
      <c r="AD474" s="2" t="n"/>
      <c r="AE474" s="2" t="n">
        <v>17600</v>
      </c>
      <c r="AF474" s="2" t="n">
        <v>187610</v>
      </c>
    </row>
    <row r="475">
      <c r="A475" s="2" t="inlineStr">
        <is>
          <t>01/11/2025</t>
        </is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>
        <v>66890000</v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Z475" s="2" t="n"/>
      <c r="AA475" s="2" t="n"/>
      <c r="AB475" s="2" t="n"/>
      <c r="AC475" s="2" t="n"/>
      <c r="AD475" s="2" t="n"/>
      <c r="AE475" s="2" t="n">
        <v>72660</v>
      </c>
      <c r="AF475" s="2" t="n">
        <v>170840</v>
      </c>
    </row>
    <row r="476">
      <c r="A476" s="2" t="inlineStr">
        <is>
          <t>01/10/2025</t>
        </is>
      </c>
      <c r="B476" s="2" t="n">
        <v>46020</v>
      </c>
      <c r="C476" s="2" t="n">
        <v>276190</v>
      </c>
      <c r="D476" s="2" t="n">
        <v>18130</v>
      </c>
      <c r="E476" s="2" t="n">
        <v>7640000</v>
      </c>
      <c r="F476" s="2" t="n"/>
      <c r="G476" s="2" t="n"/>
      <c r="H476" s="2" t="n"/>
      <c r="I476" s="2" t="n"/>
      <c r="J476" s="2" t="n">
        <v>179030000</v>
      </c>
      <c r="K476" s="2" t="n">
        <v>679810</v>
      </c>
      <c r="L476" s="2" t="n"/>
      <c r="M476" s="2" t="n">
        <v>111060</v>
      </c>
      <c r="N476" s="2" t="n"/>
      <c r="O476" s="2" t="n">
        <v>3680000</v>
      </c>
      <c r="P476" s="2" t="n">
        <v>1220000</v>
      </c>
      <c r="Q476" s="2" t="n">
        <v>47810</v>
      </c>
      <c r="R476" s="2" t="n">
        <v>113520</v>
      </c>
      <c r="S476" s="2" t="n">
        <v>528060</v>
      </c>
      <c r="T476" s="2" t="n">
        <v>26900</v>
      </c>
      <c r="U476" s="2" t="n">
        <v>2270000</v>
      </c>
      <c r="V476" s="2" t="n">
        <v>808200</v>
      </c>
      <c r="W476" s="2" t="n">
        <v>228780</v>
      </c>
      <c r="X476" s="2" t="n">
        <v>96350</v>
      </c>
      <c r="Z476" s="2" t="n">
        <v>2800000</v>
      </c>
      <c r="AA476" s="2" t="n">
        <v>22010000</v>
      </c>
      <c r="AB476" s="2" t="n">
        <v>8750000</v>
      </c>
      <c r="AC476" s="2" t="n">
        <v>16480000</v>
      </c>
      <c r="AD476" s="2" t="n">
        <v>1790000</v>
      </c>
      <c r="AE476" s="2" t="n">
        <v>125420</v>
      </c>
      <c r="AF476" s="2" t="n">
        <v>500730</v>
      </c>
    </row>
    <row r="477">
      <c r="A477" s="2" t="inlineStr">
        <is>
          <t>01/09/2025</t>
        </is>
      </c>
      <c r="B477" s="2" t="n">
        <v>37380</v>
      </c>
      <c r="C477" s="2" t="n">
        <v>368180</v>
      </c>
      <c r="D477" s="2" t="n">
        <v>19810</v>
      </c>
      <c r="E477" s="2" t="n"/>
      <c r="F477" s="2" t="n"/>
      <c r="G477" s="2" t="n"/>
      <c r="H477" s="2" t="n"/>
      <c r="I477" s="2" t="n"/>
      <c r="J477" s="2" t="n">
        <v>216840000</v>
      </c>
      <c r="K477" s="2" t="n">
        <v>524840</v>
      </c>
      <c r="L477" s="2" t="n"/>
      <c r="M477" s="2" t="n">
        <v>143780</v>
      </c>
      <c r="N477" s="2" t="n"/>
      <c r="O477" s="2" t="n"/>
      <c r="P477" s="2" t="n"/>
      <c r="Q477" s="2" t="n">
        <v>31560</v>
      </c>
      <c r="R477" s="2" t="n">
        <v>174360</v>
      </c>
      <c r="S477" s="2" t="n">
        <v>571970</v>
      </c>
      <c r="T477" s="2" t="n">
        <v>22070</v>
      </c>
      <c r="U477" s="2" t="n">
        <v>2810000</v>
      </c>
      <c r="V477" s="2" t="n">
        <v>996720</v>
      </c>
      <c r="W477" s="2" t="n">
        <v>269520</v>
      </c>
      <c r="X477" s="2" t="n">
        <v>98140</v>
      </c>
      <c r="Z477" s="2" t="n"/>
      <c r="AA477" s="2" t="n"/>
      <c r="AB477" s="2" t="n"/>
      <c r="AC477" s="2" t="n"/>
      <c r="AD477" s="2" t="n"/>
      <c r="AE477" s="2" t="n">
        <v>132780</v>
      </c>
      <c r="AF477" s="2" t="n">
        <v>543600</v>
      </c>
    </row>
    <row r="478">
      <c r="A478" s="2" t="inlineStr">
        <is>
          <t>01/08/2025</t>
        </is>
      </c>
      <c r="B478" s="2" t="n">
        <v>35800</v>
      </c>
      <c r="C478" s="2" t="n">
        <v>411450</v>
      </c>
      <c r="D478" s="2" t="n">
        <v>23250</v>
      </c>
      <c r="E478" s="2" t="n">
        <v>6100000</v>
      </c>
      <c r="F478" s="2" t="n"/>
      <c r="G478" s="2" t="n"/>
      <c r="H478" s="2" t="n"/>
      <c r="I478" s="2" t="n"/>
      <c r="J478" s="2" t="n">
        <v>281680000</v>
      </c>
      <c r="K478" s="2" t="n">
        <v>597360</v>
      </c>
      <c r="L478" s="2" t="n"/>
      <c r="M478" s="2" t="n">
        <v>175640</v>
      </c>
      <c r="N478" s="2" t="n"/>
      <c r="O478" s="2" t="n">
        <v>3140000</v>
      </c>
      <c r="P478" s="2" t="n">
        <v>1370000</v>
      </c>
      <c r="Q478" s="2" t="n">
        <v>25720</v>
      </c>
      <c r="R478" s="2" t="n">
        <v>225760</v>
      </c>
      <c r="S478" s="2" t="n">
        <v>821310</v>
      </c>
      <c r="T478" s="2" t="n">
        <v>27030</v>
      </c>
      <c r="U478" s="2" t="n">
        <v>3160000</v>
      </c>
      <c r="V478" s="2" t="n">
        <v>1650000</v>
      </c>
      <c r="W478" s="2" t="n">
        <v>348010</v>
      </c>
      <c r="X478" s="2" t="n">
        <v>79550</v>
      </c>
      <c r="Z478" s="2" t="n">
        <v>1990000</v>
      </c>
      <c r="AA478" s="2" t="n">
        <v>13720000</v>
      </c>
      <c r="AB478" s="2" t="n">
        <v>8780000</v>
      </c>
      <c r="AC478" s="2" t="n">
        <v>18270000</v>
      </c>
      <c r="AD478" s="2" t="n">
        <v>800140</v>
      </c>
      <c r="AE478" s="2" t="n">
        <v>100360</v>
      </c>
      <c r="AF478" s="2" t="n">
        <v>638460</v>
      </c>
    </row>
    <row r="479">
      <c r="A479" s="2" t="inlineStr">
        <is>
          <t>01/07/2025</t>
        </is>
      </c>
      <c r="B479" s="2" t="n">
        <v>32009</v>
      </c>
      <c r="C479" s="2" t="n">
        <v>470840</v>
      </c>
      <c r="D479" s="2" t="n">
        <v>27510</v>
      </c>
      <c r="E479" s="2" t="n">
        <v>6790000</v>
      </c>
      <c r="F479" s="2" t="n"/>
      <c r="G479" s="2" t="n"/>
      <c r="H479" s="2" t="n"/>
      <c r="I479" s="2" t="n"/>
      <c r="J479" s="2" t="n">
        <v>245340000</v>
      </c>
      <c r="K479" s="2" t="n">
        <v>599860</v>
      </c>
      <c r="L479" s="2" t="n"/>
      <c r="M479" s="2" t="n">
        <v>113400</v>
      </c>
      <c r="N479" s="2" t="n"/>
      <c r="O479" s="2" t="n">
        <v>2550000</v>
      </c>
      <c r="P479" s="2" t="n">
        <v>731000</v>
      </c>
      <c r="Q479" s="2" t="n">
        <v>23070</v>
      </c>
      <c r="R479" s="2" t="n">
        <v>260960</v>
      </c>
      <c r="S479" s="2" t="n">
        <v>1060000</v>
      </c>
      <c r="T479" s="2" t="n">
        <v>51100</v>
      </c>
      <c r="U479" s="2" t="n">
        <v>5250000</v>
      </c>
      <c r="V479" s="2" t="n">
        <v>1480000</v>
      </c>
      <c r="W479" s="2" t="n">
        <v>440160</v>
      </c>
      <c r="X479" s="2" t="n">
        <v>105910</v>
      </c>
      <c r="Z479" s="2" t="n">
        <v>2790000</v>
      </c>
      <c r="AA479" s="2" t="n">
        <v>16410000</v>
      </c>
      <c r="AB479" s="2" t="n">
        <v>8440000</v>
      </c>
      <c r="AC479" s="2" t="n">
        <v>24740000</v>
      </c>
      <c r="AD479" s="2" t="n">
        <v>832130</v>
      </c>
      <c r="AE479" s="2" t="n">
        <v>99770</v>
      </c>
      <c r="AF479" s="2" t="n">
        <v>589560</v>
      </c>
    </row>
    <row r="480">
      <c r="A480" s="2" t="inlineStr">
        <is>
          <t>01/06/2025</t>
        </is>
      </c>
      <c r="B480" s="2" t="n">
        <v>41250</v>
      </c>
      <c r="C480" s="2" t="n">
        <v>417990</v>
      </c>
      <c r="D480" s="2" t="n">
        <v>37440</v>
      </c>
      <c r="E480" s="2" t="n">
        <v>6940000</v>
      </c>
      <c r="F480" s="2" t="n"/>
      <c r="G480" s="2" t="n"/>
      <c r="H480" s="2" t="n"/>
      <c r="I480" s="2" t="n"/>
      <c r="J480" s="2" t="n">
        <v>131530000</v>
      </c>
      <c r="K480" s="2" t="n">
        <v>634420</v>
      </c>
      <c r="L480" s="2" t="n"/>
      <c r="M480" s="2" t="n">
        <v>163160</v>
      </c>
      <c r="N480" s="2" t="n"/>
      <c r="O480" s="2" t="n">
        <v>2350000</v>
      </c>
      <c r="P480" s="2" t="n">
        <v>1500000</v>
      </c>
      <c r="Q480" s="2" t="n">
        <v>53740</v>
      </c>
      <c r="R480" s="2" t="n">
        <v>228720</v>
      </c>
      <c r="S480" s="2" t="n">
        <v>722390</v>
      </c>
      <c r="T480" s="2" t="n">
        <v>64030</v>
      </c>
      <c r="U480" s="2" t="n">
        <v>2370000</v>
      </c>
      <c r="V480" s="2" t="n">
        <v>1080000</v>
      </c>
      <c r="W480" s="2" t="n">
        <v>507240</v>
      </c>
      <c r="X480" s="2" t="n">
        <v>129970</v>
      </c>
      <c r="Z480" s="2" t="n">
        <v>2190000</v>
      </c>
      <c r="AA480" s="2" t="n">
        <v>22820000</v>
      </c>
      <c r="AB480" s="2" t="n">
        <v>6360000</v>
      </c>
      <c r="AC480" s="2" t="n">
        <v>26710000</v>
      </c>
      <c r="AD480" s="2" t="n">
        <v>1530000</v>
      </c>
      <c r="AE480" s="2" t="n">
        <v>86730</v>
      </c>
      <c r="AF480" s="2" t="n">
        <v>364630</v>
      </c>
    </row>
    <row r="481">
      <c r="A481" s="2" t="inlineStr">
        <is>
          <t>01/05/2025</t>
        </is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>
        <v>97710000</v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Z481" s="2" t="n"/>
      <c r="AA481" s="2" t="n"/>
      <c r="AB481" s="2" t="n"/>
      <c r="AC481" s="2" t="n"/>
      <c r="AD481" s="2" t="n"/>
      <c r="AE481" s="2" t="n">
        <v>31340</v>
      </c>
      <c r="AF481" s="2" t="n">
        <v>170020</v>
      </c>
    </row>
    <row r="482">
      <c r="A482" s="2" t="inlineStr">
        <is>
          <t>01/04/2025</t>
        </is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>
        <v>92880000</v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Z482" s="2" t="n"/>
      <c r="AA482" s="2" t="n"/>
      <c r="AB482" s="2" t="n"/>
      <c r="AC482" s="2" t="n"/>
      <c r="AD482" s="2" t="n"/>
      <c r="AE482" s="2" t="n">
        <v>36560</v>
      </c>
      <c r="AF482" s="2" t="n">
        <v>249810</v>
      </c>
    </row>
    <row r="483">
      <c r="A483" s="2" t="inlineStr">
        <is>
          <t>01/03/2025</t>
        </is>
      </c>
      <c r="B483" s="2" t="n">
        <v>39560</v>
      </c>
      <c r="C483" s="2" t="n">
        <v>306570</v>
      </c>
      <c r="D483" s="2" t="n">
        <v>48450</v>
      </c>
      <c r="E483" s="2" t="n">
        <v>6730000</v>
      </c>
      <c r="F483" s="2" t="n"/>
      <c r="G483" s="2" t="n"/>
      <c r="H483" s="2" t="n"/>
      <c r="I483" s="2" t="n"/>
      <c r="J483" s="2" t="n">
        <v>155260000</v>
      </c>
      <c r="K483" s="2" t="n">
        <v>1120000</v>
      </c>
      <c r="L483" s="2" t="n"/>
      <c r="M483" s="2" t="n">
        <v>118190</v>
      </c>
      <c r="N483" s="2" t="n"/>
      <c r="O483" s="2" t="n">
        <v>2140000</v>
      </c>
      <c r="P483" s="2" t="n">
        <v>914170</v>
      </c>
      <c r="Q483" s="2" t="n">
        <v>99590</v>
      </c>
      <c r="R483" s="2" t="n">
        <v>274330</v>
      </c>
      <c r="S483" s="2" t="n">
        <v>1260000</v>
      </c>
      <c r="T483" s="2" t="n">
        <v>21020</v>
      </c>
      <c r="U483" s="2" t="n">
        <v>3470000</v>
      </c>
      <c r="V483" s="2" t="n">
        <v>1430000</v>
      </c>
      <c r="W483" s="2" t="n">
        <v>454440</v>
      </c>
      <c r="X483" s="2" t="n">
        <v>85640</v>
      </c>
      <c r="Z483" s="2" t="n">
        <v>2630000</v>
      </c>
      <c r="AA483" s="2" t="n">
        <v>11470000</v>
      </c>
      <c r="AB483" s="2" t="n">
        <v>5380000</v>
      </c>
      <c r="AC483" s="2" t="n">
        <v>25040000</v>
      </c>
      <c r="AD483" s="2" t="n">
        <v>923380</v>
      </c>
      <c r="AE483" s="2" t="n">
        <v>61620</v>
      </c>
      <c r="AF483" s="2" t="n">
        <v>367780</v>
      </c>
    </row>
    <row r="484">
      <c r="A484" s="2" t="inlineStr">
        <is>
          <t>01/02/2025</t>
        </is>
      </c>
      <c r="B484" s="2" t="n">
        <v>58370</v>
      </c>
      <c r="C484" s="2" t="n">
        <v>247330</v>
      </c>
      <c r="D484" s="2" t="n">
        <v>40640</v>
      </c>
      <c r="E484" s="2" t="n">
        <v>7530000</v>
      </c>
      <c r="F484" s="2" t="n"/>
      <c r="G484" s="2" t="n"/>
      <c r="H484" s="2" t="n"/>
      <c r="I484" s="2" t="n"/>
      <c r="J484" s="2" t="n">
        <v>133690000</v>
      </c>
      <c r="K484" s="2" t="n">
        <v>1120000</v>
      </c>
      <c r="L484" s="2" t="n"/>
      <c r="M484" s="2" t="n">
        <v>140090</v>
      </c>
      <c r="N484" s="2" t="n"/>
      <c r="O484" s="2" t="n">
        <v>2440000</v>
      </c>
      <c r="P484" s="2" t="n">
        <v>1690000</v>
      </c>
      <c r="Q484" s="2" t="n">
        <v>48780</v>
      </c>
      <c r="R484" s="2" t="n">
        <v>230860</v>
      </c>
      <c r="S484" s="2" t="n">
        <v>1390000</v>
      </c>
      <c r="T484" s="2" t="n">
        <v>33370</v>
      </c>
      <c r="U484" s="2" t="n">
        <v>6970000</v>
      </c>
      <c r="V484" s="2" t="n">
        <v>2680000</v>
      </c>
      <c r="W484" s="2" t="n">
        <v>634680</v>
      </c>
      <c r="X484" s="2" t="n">
        <v>99600</v>
      </c>
      <c r="Z484" s="2" t="n">
        <v>3230000</v>
      </c>
      <c r="AA484" s="2" t="n">
        <v>17010000</v>
      </c>
      <c r="AB484" s="2" t="n">
        <v>11120000</v>
      </c>
      <c r="AC484" s="2" t="n">
        <v>17930000</v>
      </c>
      <c r="AD484" s="2" t="n">
        <v>1180000</v>
      </c>
      <c r="AE484" s="2" t="n">
        <v>76130</v>
      </c>
      <c r="AF484" s="2" t="n">
        <v>362320</v>
      </c>
    </row>
    <row r="485">
      <c r="A485" s="2" t="inlineStr">
        <is>
          <t>01/01/2025</t>
        </is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>
        <v>123700000</v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Z485" s="2" t="n"/>
      <c r="AA485" s="2" t="n"/>
      <c r="AB485" s="2" t="n"/>
      <c r="AC485" s="2" t="n"/>
      <c r="AD485" s="2" t="n"/>
      <c r="AE485" s="2" t="n">
        <v>43340</v>
      </c>
      <c r="AF485" s="2" t="n">
        <v>209220</v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2"/>
  <sheetViews>
    <sheetView topLeftCell="I1" workbookViewId="0">
      <selection activeCell="T3" sqref="T3"/>
    </sheetView>
  </sheetViews>
  <sheetFormatPr baseColWidth="10" defaultRowHeight="17"/>
  <cols>
    <col width="13.83203125" bestFit="1" customWidth="1" min="1" max="1"/>
    <col width="14.83203125" bestFit="1" customWidth="1" min="2" max="2"/>
    <col width="13.33203125" bestFit="1" customWidth="1" min="3" max="3"/>
    <col width="14.83203125" bestFit="1" customWidth="1" min="4" max="4"/>
    <col width="13.33203125" bestFit="1" customWidth="1" min="5" max="6"/>
    <col width="13.33203125" bestFit="1" customWidth="1" min="8" max="8"/>
    <col width="14.83203125" bestFit="1" customWidth="1" min="9" max="9"/>
    <col width="13.33203125" bestFit="1" customWidth="1" min="10" max="11"/>
    <col width="14.83203125" bestFit="1" customWidth="1" min="12" max="12"/>
    <col width="13.33203125" bestFit="1" customWidth="1" min="13" max="13"/>
    <col width="14.83203125" bestFit="1" customWidth="1" min="16" max="16"/>
    <col width="13.33203125" bestFit="1" customWidth="1" min="17" max="18"/>
    <col width="14.83203125" bestFit="1" customWidth="1" min="19" max="19"/>
    <col width="13.33203125" bestFit="1" customWidth="1" min="20" max="20"/>
  </cols>
  <sheetData>
    <row r="1">
      <c r="A1" s="11" t="inlineStr">
        <is>
          <t>Now</t>
        </is>
      </c>
      <c r="B1" s="48" t="inlineStr">
        <is>
          <t xml:space="preserve"> Total </t>
        </is>
      </c>
      <c r="C1" s="48" t="inlineStr">
        <is>
          <t xml:space="preserve"> Susie </t>
        </is>
      </c>
      <c r="D1" s="48" t="inlineStr">
        <is>
          <t xml:space="preserve"> D&amp;B   </t>
        </is>
      </c>
      <c r="E1" s="48" t="inlineStr">
        <is>
          <t xml:space="preserve"> Jintae </t>
        </is>
      </c>
      <c r="F1" s="48" t="inlineStr">
        <is>
          <t xml:space="preserve"> Hyunhee </t>
        </is>
      </c>
      <c r="G1" s="48" t="n"/>
      <c r="H1" s="48" t="inlineStr">
        <is>
          <t xml:space="preserve"> Crypto </t>
        </is>
      </c>
      <c r="I1" s="48" t="inlineStr">
        <is>
          <t xml:space="preserve"> Cash </t>
        </is>
      </c>
      <c r="J1" s="48" t="inlineStr">
        <is>
          <t xml:space="preserve"> Gold </t>
        </is>
      </c>
      <c r="K1" s="48" t="inlineStr">
        <is>
          <t xml:space="preserve"> Kor stock </t>
        </is>
      </c>
      <c r="L1" s="48" t="inlineStr">
        <is>
          <t xml:space="preserve"> US stock </t>
        </is>
      </c>
      <c r="M1" s="48" t="inlineStr">
        <is>
          <t xml:space="preserve"> US bonds </t>
        </is>
      </c>
      <c r="N1" s="11" t="n"/>
      <c r="O1" s="48" t="inlineStr">
        <is>
          <t xml:space="preserve"> Crypto </t>
        </is>
      </c>
      <c r="P1" s="48" t="inlineStr">
        <is>
          <t xml:space="preserve"> Cash </t>
        </is>
      </c>
      <c r="Q1" s="48" t="inlineStr">
        <is>
          <t xml:space="preserve"> Gold </t>
        </is>
      </c>
      <c r="R1" s="48" t="inlineStr">
        <is>
          <t xml:space="preserve"> Kor stock </t>
        </is>
      </c>
      <c r="S1" s="48" t="inlineStr">
        <is>
          <t xml:space="preserve"> US stock </t>
        </is>
      </c>
      <c r="T1" s="48" t="inlineStr">
        <is>
          <t xml:space="preserve"> US bonds </t>
        </is>
      </c>
    </row>
    <row r="2">
      <c r="A2" s="42">
        <f>NOW()</f>
        <v/>
      </c>
      <c r="B2" s="48">
        <f>Admin!D5</f>
        <v/>
      </c>
      <c r="C2" s="48">
        <f>Admin!D1</f>
        <v/>
      </c>
      <c r="D2" s="48">
        <f>Admin!D2</f>
        <v/>
      </c>
      <c r="E2" s="48">
        <f>Admin!D3</f>
        <v/>
      </c>
      <c r="F2" s="48">
        <f>Admin!D4</f>
        <v/>
      </c>
      <c r="G2" s="48" t="n"/>
      <c r="H2" s="48">
        <f>SUM(Admin!D8,Admin!D9,Admin!D36,Admin!D37,Admin!D48,Admin!D49)</f>
        <v/>
      </c>
      <c r="I2" s="48">
        <f>SUM(Admin!D10,Admin!D11,Admin!D12,Admin!D21,Admin!D22,Admin!D23,Admin!D24,Admin!D38,Admin!D39,Admin!D40,Admin!D50,Admin!D51,Admin!D52)</f>
        <v/>
      </c>
      <c r="J2" s="48">
        <f>SUM(Admin!D13,Admin!D25,Admin!D53)</f>
        <v/>
      </c>
      <c r="K2" s="48">
        <f>SUM(Admin!D14,Admin!D26,Admin!D27,Admin!D41,Admin!D54)</f>
        <v/>
      </c>
      <c r="L2" s="48">
        <f>SUM(Admin!D15,Admin!D16,Admin!D29,Admin!D30,Admin!D42,Admin!D55)</f>
        <v/>
      </c>
      <c r="M2" s="48">
        <f>SUM(Admin!D17,Admin!D31,Admin!D32,Admin!D43,Admin!D44,Admin!D56)</f>
        <v/>
      </c>
      <c r="N2" s="11" t="n"/>
      <c r="O2" s="48" t="n"/>
      <c r="P2" s="48">
        <f>SUM(Admin!D21,Admin!D22,Admin!D23,Admin!D24)</f>
        <v/>
      </c>
      <c r="Q2" s="48">
        <f>Admin!D25</f>
        <v/>
      </c>
      <c r="R2" s="48">
        <f>SUM(Admin!D26,Admin!D27)</f>
        <v/>
      </c>
      <c r="S2" s="48">
        <f>SUM(Admin!D29,Admin!D30)</f>
        <v/>
      </c>
      <c r="T2" s="48">
        <f>SUM(Admin!D31,Admin!D32)</f>
        <v/>
      </c>
    </row>
    <row r="3">
      <c r="A3" s="37" t="inlineStr">
        <is>
          <t>Date</t>
        </is>
      </c>
      <c r="B3" s="37" t="inlineStr">
        <is>
          <t xml:space="preserve"> Total </t>
        </is>
      </c>
      <c r="C3" s="37" t="inlineStr">
        <is>
          <t xml:space="preserve"> Susie </t>
        </is>
      </c>
      <c r="D3" s="37" t="inlineStr">
        <is>
          <t xml:space="preserve"> D&amp;B   </t>
        </is>
      </c>
      <c r="E3" s="37" t="inlineStr">
        <is>
          <t xml:space="preserve"> Jintae </t>
        </is>
      </c>
      <c r="F3" s="37" t="inlineStr">
        <is>
          <t xml:space="preserve"> Hyunhee </t>
        </is>
      </c>
      <c r="G3" s="37" t="n"/>
      <c r="H3" s="37" t="inlineStr">
        <is>
          <t xml:space="preserve"> Crypto </t>
        </is>
      </c>
      <c r="I3" s="37" t="inlineStr">
        <is>
          <t xml:space="preserve"> Cash </t>
        </is>
      </c>
      <c r="J3" s="37" t="inlineStr">
        <is>
          <t xml:space="preserve"> Gold </t>
        </is>
      </c>
      <c r="K3" s="37" t="inlineStr">
        <is>
          <t xml:space="preserve"> Kor stock </t>
        </is>
      </c>
      <c r="L3" s="37" t="inlineStr">
        <is>
          <t xml:space="preserve"> US stock </t>
        </is>
      </c>
      <c r="M3" s="37" t="inlineStr">
        <is>
          <t xml:space="preserve"> US bonds </t>
        </is>
      </c>
      <c r="N3" s="37" t="n"/>
      <c r="O3" s="37" t="inlineStr">
        <is>
          <t xml:space="preserve"> Crypto</t>
        </is>
      </c>
      <c r="P3" s="37" t="inlineStr">
        <is>
          <t xml:space="preserve"> Cash </t>
        </is>
      </c>
      <c r="Q3" s="37" t="inlineStr">
        <is>
          <t xml:space="preserve"> Gold </t>
        </is>
      </c>
      <c r="R3" s="37" t="inlineStr">
        <is>
          <t xml:space="preserve"> Kor stock </t>
        </is>
      </c>
      <c r="S3" s="37" t="inlineStr">
        <is>
          <t xml:space="preserve"> US stock </t>
        </is>
      </c>
      <c r="T3" s="37" t="inlineStr">
        <is>
          <t xml:space="preserve"> US bonds </t>
        </is>
      </c>
    </row>
    <row r="4">
      <c r="A4" s="49" t="n">
        <v>46141</v>
      </c>
      <c r="B4" s="50" t="n">
        <v>5955286830</v>
      </c>
      <c r="C4" s="50" t="n">
        <v>610620296</v>
      </c>
      <c r="D4" s="50" t="n">
        <v>4225605987</v>
      </c>
      <c r="E4" s="50" t="n">
        <v>874563337</v>
      </c>
      <c r="F4" s="50" t="n">
        <v>244497209</v>
      </c>
      <c r="H4" s="50" t="n">
        <v>278443272</v>
      </c>
      <c r="I4" s="50" t="n">
        <v>2090501916</v>
      </c>
      <c r="J4" s="50" t="n">
        <v>476514080</v>
      </c>
      <c r="K4" s="50" t="n">
        <v>874939140</v>
      </c>
      <c r="L4" s="50" t="n">
        <v>1385352089</v>
      </c>
      <c r="M4" s="50" t="n">
        <v>849536332</v>
      </c>
      <c r="O4" s="50" t="n">
        <v>0</v>
      </c>
      <c r="P4" s="50" t="n">
        <v>1700208931</v>
      </c>
      <c r="Q4" s="50" t="n">
        <v>385325185</v>
      </c>
      <c r="R4" s="50" t="n">
        <v>390468980</v>
      </c>
      <c r="S4" s="50" t="n">
        <v>1184344859</v>
      </c>
      <c r="T4" s="50" t="n">
        <v>565258032</v>
      </c>
    </row>
    <row r="5">
      <c r="A5" s="49" t="n">
        <v>46140</v>
      </c>
      <c r="B5" s="50" t="n">
        <v>5959655561</v>
      </c>
      <c r="C5" s="50" t="n">
        <v>609360111</v>
      </c>
      <c r="D5" s="50" t="n">
        <v>4225354560</v>
      </c>
      <c r="E5" s="50" t="n">
        <v>880751735</v>
      </c>
      <c r="F5" s="50" t="n">
        <v>244189156</v>
      </c>
      <c r="H5" s="50" t="n">
        <v>275975559</v>
      </c>
      <c r="I5" s="50" t="n">
        <v>2064538169</v>
      </c>
      <c r="J5" s="50" t="n">
        <v>481010240</v>
      </c>
      <c r="K5" s="50" t="n">
        <v>902237440</v>
      </c>
      <c r="L5" s="50" t="n">
        <v>1388816711</v>
      </c>
      <c r="M5" s="50" t="n">
        <v>847077443</v>
      </c>
      <c r="O5" s="50" t="n">
        <v>0</v>
      </c>
      <c r="P5" s="50" t="n">
        <v>1674425371</v>
      </c>
      <c r="Q5" s="50" t="n">
        <v>388960930</v>
      </c>
      <c r="R5" s="50" t="n">
        <v>410855585</v>
      </c>
      <c r="S5" s="50" t="n">
        <v>1187376056</v>
      </c>
      <c r="T5" s="50" t="n">
        <v>563736618</v>
      </c>
    </row>
    <row r="6">
      <c r="A6" s="49" t="n">
        <v>46139</v>
      </c>
      <c r="B6" s="50" t="n">
        <v>5968659631</v>
      </c>
      <c r="C6" s="50" t="n">
        <v>613778955</v>
      </c>
      <c r="D6" s="50" t="n">
        <v>4228605300</v>
      </c>
      <c r="E6" s="50" t="n">
        <v>880943111</v>
      </c>
      <c r="F6" s="50" t="n">
        <v>245332265</v>
      </c>
      <c r="H6" s="50" t="n">
        <v>279339583</v>
      </c>
      <c r="I6" s="50" t="n">
        <v>2062593023</v>
      </c>
      <c r="J6" s="50" t="n">
        <v>487478400</v>
      </c>
      <c r="K6" s="50" t="n">
        <v>903546205</v>
      </c>
      <c r="L6" s="50" t="n">
        <v>1387611154</v>
      </c>
      <c r="M6" s="50" t="n">
        <v>848091266</v>
      </c>
      <c r="O6" s="50" t="n">
        <v>0</v>
      </c>
      <c r="P6" s="50" t="n">
        <v>1672287945</v>
      </c>
      <c r="Q6" s="50" t="n">
        <v>394191300</v>
      </c>
      <c r="R6" s="50" t="n">
        <v>412369505</v>
      </c>
      <c r="S6" s="50" t="n">
        <v>1185839434</v>
      </c>
      <c r="T6" s="50" t="n">
        <v>563917116</v>
      </c>
    </row>
    <row r="7">
      <c r="A7" s="49" t="n">
        <v>46138</v>
      </c>
      <c r="B7" s="50" t="n">
        <v>5971587370</v>
      </c>
      <c r="C7" s="50" t="n">
        <v>615511690</v>
      </c>
      <c r="D7" s="50" t="n">
        <v>4232313878</v>
      </c>
      <c r="E7" s="50" t="n">
        <v>878261631</v>
      </c>
      <c r="F7" s="50" t="n">
        <v>245500171</v>
      </c>
      <c r="H7" s="50" t="n">
        <v>281696141</v>
      </c>
      <c r="I7" s="50" t="n">
        <v>2067144960</v>
      </c>
      <c r="J7" s="50" t="n">
        <v>490160320</v>
      </c>
      <c r="K7" s="50" t="n">
        <v>889766405</v>
      </c>
      <c r="L7" s="50" t="n">
        <v>1390506435</v>
      </c>
      <c r="M7" s="50" t="n">
        <v>852313109</v>
      </c>
      <c r="O7" s="50" t="n">
        <v>0</v>
      </c>
      <c r="P7" s="50" t="n">
        <v>1676431029</v>
      </c>
      <c r="Q7" s="50" t="n">
        <v>396359990</v>
      </c>
      <c r="R7" s="50" t="n">
        <v>403891760</v>
      </c>
      <c r="S7" s="50" t="n">
        <v>1189820715</v>
      </c>
      <c r="T7" s="50" t="n">
        <v>565810384</v>
      </c>
    </row>
    <row r="8">
      <c r="A8" s="49" t="n">
        <v>46137</v>
      </c>
      <c r="B8" s="50" t="n">
        <v>5969707487</v>
      </c>
      <c r="C8" s="50" t="n">
        <v>614099171</v>
      </c>
      <c r="D8" s="50" t="n">
        <v>4232313878</v>
      </c>
      <c r="E8" s="50" t="n">
        <v>877972157</v>
      </c>
      <c r="F8" s="50" t="n">
        <v>245322281</v>
      </c>
      <c r="H8" s="50" t="n">
        <v>279816257</v>
      </c>
      <c r="I8" s="50" t="n">
        <v>2067144960</v>
      </c>
      <c r="J8" s="50" t="n">
        <v>490160320</v>
      </c>
      <c r="K8" s="50" t="n">
        <v>889766405</v>
      </c>
      <c r="L8" s="50" t="n">
        <v>1390506435</v>
      </c>
      <c r="M8" s="50" t="n">
        <v>852313109</v>
      </c>
      <c r="O8" s="50" t="n">
        <v>0</v>
      </c>
      <c r="P8" s="50" t="n">
        <v>1676431029</v>
      </c>
      <c r="Q8" s="50" t="n">
        <v>396359990</v>
      </c>
      <c r="R8" s="50" t="n">
        <v>403891760</v>
      </c>
      <c r="S8" s="50" t="n">
        <v>1189820715</v>
      </c>
      <c r="T8" s="50" t="n">
        <v>565810384</v>
      </c>
    </row>
    <row r="9">
      <c r="A9" s="49" t="n">
        <v>46136</v>
      </c>
      <c r="B9" s="50" t="n">
        <v>5973758772</v>
      </c>
      <c r="C9" s="50" t="n">
        <v>616235572</v>
      </c>
      <c r="D9" s="50" t="n">
        <v>4233576488</v>
      </c>
      <c r="E9" s="50" t="n">
        <v>878371114</v>
      </c>
      <c r="F9" s="50" t="n">
        <v>245575598</v>
      </c>
      <c r="H9" s="50" t="n">
        <v>282604843</v>
      </c>
      <c r="I9" s="50" t="n">
        <v>2073342100</v>
      </c>
      <c r="J9" s="50" t="n">
        <v>490160320</v>
      </c>
      <c r="K9" s="50" t="n">
        <v>889766405</v>
      </c>
      <c r="L9" s="50" t="n">
        <v>1383880152</v>
      </c>
      <c r="M9" s="50" t="n">
        <v>854004952</v>
      </c>
      <c r="O9" s="50" t="n">
        <v>0</v>
      </c>
      <c r="P9" s="50" t="n">
        <v>1682628079</v>
      </c>
      <c r="Q9" s="50" t="n">
        <v>396359990</v>
      </c>
      <c r="R9" s="50" t="n">
        <v>403891760</v>
      </c>
      <c r="S9" s="50" t="n">
        <v>1183194432</v>
      </c>
      <c r="T9" s="50" t="n">
        <v>567502227</v>
      </c>
    </row>
    <row r="10">
      <c r="A10" s="49" t="n">
        <v>46135</v>
      </c>
      <c r="B10" s="50" t="n">
        <v>5960402817</v>
      </c>
      <c r="C10" s="50" t="n">
        <v>613662279</v>
      </c>
      <c r="D10" s="50" t="n">
        <v>4227776516</v>
      </c>
      <c r="E10" s="50" t="n">
        <v>874651461</v>
      </c>
      <c r="F10" s="50" t="n">
        <v>244312560</v>
      </c>
      <c r="H10" s="50" t="n">
        <v>281195561</v>
      </c>
      <c r="I10" s="50" t="n">
        <v>2069262162</v>
      </c>
      <c r="J10" s="50" t="n">
        <v>493078880</v>
      </c>
      <c r="K10" s="50" t="n">
        <v>881463355</v>
      </c>
      <c r="L10" s="50" t="n">
        <v>1382898069</v>
      </c>
      <c r="M10" s="50" t="n">
        <v>852504790</v>
      </c>
      <c r="O10" s="50" t="n">
        <v>0</v>
      </c>
      <c r="P10" s="50" t="n">
        <v>1679463978</v>
      </c>
      <c r="Q10" s="50" t="n">
        <v>398720035</v>
      </c>
      <c r="R10" s="50" t="n">
        <v>399394510</v>
      </c>
      <c r="S10" s="50" t="n">
        <v>1183184529</v>
      </c>
      <c r="T10" s="50" t="n">
        <v>567013465</v>
      </c>
    </row>
    <row r="11">
      <c r="A11" s="49" t="n">
        <v>46134</v>
      </c>
      <c r="B11" s="50" t="n">
        <v>5945834827</v>
      </c>
      <c r="C11" s="50" t="n">
        <v>614655944</v>
      </c>
      <c r="D11" s="50" t="n">
        <v>4206959821</v>
      </c>
      <c r="E11" s="50" t="n">
        <v>880252512</v>
      </c>
      <c r="F11" s="50" t="n">
        <v>243966550</v>
      </c>
      <c r="H11" s="50" t="n">
        <v>282610693</v>
      </c>
      <c r="I11" s="50" t="n">
        <v>2067540653</v>
      </c>
      <c r="J11" s="50" t="n">
        <v>497575040</v>
      </c>
      <c r="K11" s="50" t="n">
        <v>886298110</v>
      </c>
      <c r="L11" s="50" t="n">
        <v>1362035439</v>
      </c>
      <c r="M11" s="50" t="n">
        <v>849774892</v>
      </c>
      <c r="O11" s="50" t="n">
        <v>0</v>
      </c>
      <c r="P11" s="50" t="n">
        <v>1677167265</v>
      </c>
      <c r="Q11" s="50" t="n">
        <v>402355780</v>
      </c>
      <c r="R11" s="50" t="n">
        <v>398706760</v>
      </c>
      <c r="S11" s="50" t="n">
        <v>1164166449</v>
      </c>
      <c r="T11" s="50" t="n">
        <v>564563567</v>
      </c>
    </row>
    <row r="12">
      <c r="A12" s="49" t="n">
        <v>46133</v>
      </c>
      <c r="B12" s="50" t="n">
        <v>5915827806</v>
      </c>
      <c r="C12" s="50" t="n">
        <v>601999026</v>
      </c>
      <c r="D12" s="50" t="n">
        <v>4196768513</v>
      </c>
      <c r="E12" s="50" t="n">
        <v>874399061</v>
      </c>
      <c r="F12" s="50" t="n">
        <v>242661206</v>
      </c>
      <c r="H12" s="50" t="n">
        <v>258624238</v>
      </c>
      <c r="I12" s="50" t="n">
        <v>2061715391</v>
      </c>
      <c r="J12" s="50" t="n">
        <v>497732800</v>
      </c>
      <c r="K12" s="50" t="n">
        <v>890548480</v>
      </c>
      <c r="L12" s="50" t="n">
        <v>1358830804</v>
      </c>
      <c r="M12" s="50" t="n">
        <v>848376093</v>
      </c>
      <c r="O12" s="50" t="n">
        <v>0</v>
      </c>
      <c r="P12" s="50" t="n">
        <v>1670733741</v>
      </c>
      <c r="Q12" s="50" t="n">
        <v>402483350</v>
      </c>
      <c r="R12" s="50" t="n">
        <v>398263715</v>
      </c>
      <c r="S12" s="50" t="n">
        <v>1161695089</v>
      </c>
      <c r="T12" s="50" t="n">
        <v>563592618</v>
      </c>
    </row>
    <row r="13">
      <c r="A13" s="49" t="n">
        <v>46132</v>
      </c>
      <c r="B13" s="50" t="n">
        <v>5927125692</v>
      </c>
      <c r="C13" s="50" t="n">
        <v>599173129</v>
      </c>
      <c r="D13" s="50" t="n">
        <v>4208212825</v>
      </c>
      <c r="E13" s="50" t="n">
        <v>877444605</v>
      </c>
      <c r="F13" s="50" t="n">
        <v>242295134</v>
      </c>
      <c r="H13" s="50" t="n">
        <v>255047861</v>
      </c>
      <c r="I13" s="50" t="n">
        <v>2067140158</v>
      </c>
      <c r="J13" s="50" t="n">
        <v>500335840</v>
      </c>
      <c r="K13" s="50" t="n">
        <v>886995330</v>
      </c>
      <c r="L13" s="50" t="n">
        <v>1366453320</v>
      </c>
      <c r="M13" s="50" t="n">
        <v>851153183</v>
      </c>
      <c r="O13" s="50" t="n">
        <v>0</v>
      </c>
      <c r="P13" s="50" t="n">
        <v>1676258297</v>
      </c>
      <c r="Q13" s="50" t="n">
        <v>404588255</v>
      </c>
      <c r="R13" s="50" t="n">
        <v>391690625</v>
      </c>
      <c r="S13" s="50" t="n">
        <v>1169603865</v>
      </c>
      <c r="T13" s="50" t="n">
        <v>566071783</v>
      </c>
    </row>
    <row r="14">
      <c r="A14" s="49" t="n">
        <v>46131</v>
      </c>
      <c r="B14" s="50" t="n">
        <v>5910450917</v>
      </c>
      <c r="C14" s="50" t="n">
        <v>599867026</v>
      </c>
      <c r="D14" s="50" t="n">
        <v>4185970883</v>
      </c>
      <c r="E14" s="50" t="n">
        <v>882608543</v>
      </c>
      <c r="F14" s="50" t="n">
        <v>242004465</v>
      </c>
      <c r="H14" s="50" t="n">
        <v>256870394</v>
      </c>
      <c r="I14" s="50" t="n">
        <v>2057281387</v>
      </c>
      <c r="J14" s="50" t="n">
        <v>502465600</v>
      </c>
      <c r="K14" s="50" t="n">
        <v>890199210</v>
      </c>
      <c r="L14" s="50" t="n">
        <v>1357223255</v>
      </c>
      <c r="M14" s="50" t="n">
        <v>846411071</v>
      </c>
      <c r="O14" s="50" t="n">
        <v>0</v>
      </c>
      <c r="P14" s="50" t="n">
        <v>1667228871</v>
      </c>
      <c r="Q14" s="50" t="n">
        <v>406310450</v>
      </c>
      <c r="R14" s="50" t="n">
        <v>389335090</v>
      </c>
      <c r="S14" s="50" t="n">
        <v>1161127250</v>
      </c>
      <c r="T14" s="50" t="n">
        <v>561969221</v>
      </c>
    </row>
    <row r="15">
      <c r="A15" s="49" t="n">
        <v>46130</v>
      </c>
      <c r="B15" s="50" t="n">
        <v>5916190955</v>
      </c>
      <c r="C15" s="50" t="n">
        <v>604184532</v>
      </c>
      <c r="D15" s="50" t="n">
        <v>4185970883</v>
      </c>
      <c r="E15" s="50" t="n">
        <v>883419538</v>
      </c>
      <c r="F15" s="50" t="n">
        <v>242616003</v>
      </c>
      <c r="H15" s="50" t="n">
        <v>262610432</v>
      </c>
      <c r="I15" s="50" t="n">
        <v>2057281386</v>
      </c>
      <c r="J15" s="50" t="n">
        <v>502465600</v>
      </c>
      <c r="K15" s="50" t="n">
        <v>890199210</v>
      </c>
      <c r="L15" s="50" t="n">
        <v>1357223255</v>
      </c>
      <c r="M15" s="50" t="n">
        <v>846411071</v>
      </c>
      <c r="O15" s="50" t="n">
        <v>0</v>
      </c>
      <c r="P15" s="50" t="n">
        <v>1667228871</v>
      </c>
      <c r="Q15" s="50" t="n">
        <v>406310450</v>
      </c>
      <c r="R15" s="50" t="n">
        <v>389335090</v>
      </c>
      <c r="S15" s="50" t="n">
        <v>1161127250</v>
      </c>
      <c r="T15" s="50" t="n">
        <v>561969221</v>
      </c>
    </row>
    <row r="16">
      <c r="A16" s="49" t="n">
        <v>46129</v>
      </c>
      <c r="B16" s="50" t="n">
        <v>5931714346</v>
      </c>
      <c r="C16" s="50" t="n">
        <v>600912110</v>
      </c>
      <c r="D16" s="50" t="n">
        <v>4205794204</v>
      </c>
      <c r="E16" s="50" t="n">
        <v>882838114</v>
      </c>
      <c r="F16" s="50" t="n">
        <v>242169918</v>
      </c>
      <c r="H16" s="50" t="n">
        <v>258310324</v>
      </c>
      <c r="I16" s="50" t="n">
        <v>2072108788</v>
      </c>
      <c r="J16" s="50" t="n">
        <v>502465600</v>
      </c>
      <c r="K16" s="50" t="n">
        <v>890199210</v>
      </c>
      <c r="L16" s="50" t="n">
        <v>1358019777</v>
      </c>
      <c r="M16" s="50" t="n">
        <v>850610647</v>
      </c>
      <c r="O16" s="50" t="n">
        <v>0</v>
      </c>
      <c r="P16" s="50" t="n">
        <v>1682056095</v>
      </c>
      <c r="Q16" s="50" t="n">
        <v>406310450</v>
      </c>
      <c r="R16" s="50" t="n">
        <v>389335090</v>
      </c>
      <c r="S16" s="50" t="n">
        <v>1161923772</v>
      </c>
      <c r="T16" s="50" t="n">
        <v>566168797</v>
      </c>
    </row>
    <row r="17">
      <c r="A17" s="49" t="n">
        <v>46128</v>
      </c>
      <c r="B17" s="50" t="n">
        <v>5897871592</v>
      </c>
      <c r="C17" s="50" t="n">
        <v>599085451</v>
      </c>
      <c r="D17" s="50" t="n">
        <v>4181395012</v>
      </c>
      <c r="E17" s="50" t="n">
        <v>875989625</v>
      </c>
      <c r="F17" s="50" t="n">
        <v>241401505</v>
      </c>
      <c r="H17" s="50" t="n">
        <v>256137066</v>
      </c>
      <c r="I17" s="50" t="n">
        <v>2061832263</v>
      </c>
      <c r="J17" s="50" t="n">
        <v>503806560</v>
      </c>
      <c r="K17" s="50" t="n">
        <v>885407470</v>
      </c>
      <c r="L17" s="50" t="n">
        <v>1342747539</v>
      </c>
      <c r="M17" s="50" t="n">
        <v>847940693</v>
      </c>
      <c r="O17" s="50" t="n">
        <v>0</v>
      </c>
      <c r="P17" s="50" t="n">
        <v>1672661129</v>
      </c>
      <c r="Q17" s="50" t="n">
        <v>407394795</v>
      </c>
      <c r="R17" s="50" t="n">
        <v>390145490</v>
      </c>
      <c r="S17" s="50" t="n">
        <v>1147700379</v>
      </c>
      <c r="T17" s="50" t="n">
        <v>563493218</v>
      </c>
    </row>
    <row r="18">
      <c r="A18" s="49" t="n">
        <v>46127</v>
      </c>
      <c r="B18" s="50" t="n">
        <v>5877528082</v>
      </c>
      <c r="C18" s="50" t="n">
        <v>595208300</v>
      </c>
      <c r="D18" s="50" t="n">
        <v>4175443428</v>
      </c>
      <c r="E18" s="50" t="n">
        <v>867234651</v>
      </c>
      <c r="F18" s="50" t="n">
        <v>239641703</v>
      </c>
      <c r="H18" s="50" t="n">
        <v>252837394</v>
      </c>
      <c r="I18" s="50" t="n">
        <v>1992396880</v>
      </c>
      <c r="J18" s="50" t="n">
        <v>503569920</v>
      </c>
      <c r="K18" s="50" t="n">
        <v>895682680</v>
      </c>
      <c r="L18" s="50" t="n">
        <v>1382291866</v>
      </c>
      <c r="M18" s="50" t="n">
        <v>850749342</v>
      </c>
      <c r="O18" s="50" t="n">
        <v>0</v>
      </c>
      <c r="P18" s="50" t="n">
        <v>1603490055</v>
      </c>
      <c r="Q18" s="50" t="n">
        <v>407203440</v>
      </c>
      <c r="R18" s="50" t="n">
        <v>408467385</v>
      </c>
      <c r="S18" s="50" t="n">
        <v>1190691931</v>
      </c>
      <c r="T18" s="50" t="n">
        <v>565590617</v>
      </c>
    </row>
    <row r="19">
      <c r="A19" s="49" t="n">
        <v>46126</v>
      </c>
      <c r="B19" s="50" t="n">
        <v>5846915659</v>
      </c>
      <c r="C19" s="50" t="n">
        <v>594561906</v>
      </c>
      <c r="D19" s="50" t="n">
        <v>4147997476</v>
      </c>
      <c r="E19" s="50" t="n">
        <v>866046907</v>
      </c>
      <c r="F19" s="50" t="n">
        <v>238309370</v>
      </c>
      <c r="H19" s="50" t="n">
        <v>255779369</v>
      </c>
      <c r="I19" s="50" t="n">
        <v>1992943502</v>
      </c>
      <c r="J19" s="50" t="n">
        <v>499547040</v>
      </c>
      <c r="K19" s="50" t="n">
        <v>881318385</v>
      </c>
      <c r="L19" s="50" t="n">
        <v>1367460410</v>
      </c>
      <c r="M19" s="50" t="n">
        <v>849866953</v>
      </c>
      <c r="O19" s="50" t="n">
        <v>0</v>
      </c>
      <c r="P19" s="50" t="n">
        <v>1604820548</v>
      </c>
      <c r="Q19" s="50" t="n">
        <v>403950405</v>
      </c>
      <c r="R19" s="50" t="n">
        <v>396721695</v>
      </c>
      <c r="S19" s="50" t="n">
        <v>1177934375</v>
      </c>
      <c r="T19" s="50" t="n">
        <v>564570453</v>
      </c>
    </row>
    <row r="20">
      <c r="A20" s="49" t="n">
        <v>46125</v>
      </c>
      <c r="B20" s="50" t="n">
        <v>5818521048</v>
      </c>
      <c r="C20" s="50" t="n">
        <v>583900985</v>
      </c>
      <c r="D20" s="50" t="n">
        <v>4147646490</v>
      </c>
      <c r="E20" s="50" t="n">
        <v>851395394</v>
      </c>
      <c r="F20" s="50" t="n">
        <v>235578180</v>
      </c>
      <c r="H20" s="50" t="n">
        <v>243871248</v>
      </c>
      <c r="I20" s="50" t="n">
        <v>1998978358</v>
      </c>
      <c r="J20" s="50" t="n">
        <v>498600480</v>
      </c>
      <c r="K20" s="50" t="n">
        <v>860615620</v>
      </c>
      <c r="L20" s="50" t="n">
        <v>1364231173</v>
      </c>
      <c r="M20" s="50" t="n">
        <v>852224170</v>
      </c>
      <c r="O20" s="50" t="n">
        <v>0</v>
      </c>
      <c r="P20" s="50" t="n">
        <v>1611209042</v>
      </c>
      <c r="Q20" s="50" t="n">
        <v>403184985</v>
      </c>
      <c r="R20" s="50" t="n">
        <v>388281725</v>
      </c>
      <c r="S20" s="50" t="n">
        <v>1177151518</v>
      </c>
      <c r="T20" s="50" t="n">
        <v>567819220</v>
      </c>
    </row>
    <row r="21">
      <c r="A21" s="49" t="n">
        <v>46124</v>
      </c>
      <c r="B21" s="50" t="n">
        <v>5809255900</v>
      </c>
      <c r="C21" s="50" t="n">
        <v>585856654</v>
      </c>
      <c r="D21" s="50" t="n">
        <v>4147947542</v>
      </c>
      <c r="E21" s="50" t="n">
        <v>839547341</v>
      </c>
      <c r="F21" s="50" t="n">
        <v>235904363</v>
      </c>
      <c r="H21" s="50" t="n">
        <v>246369730</v>
      </c>
      <c r="I21" s="50" t="n">
        <v>2003064031</v>
      </c>
      <c r="J21" s="50" t="n">
        <v>499797620</v>
      </c>
      <c r="K21" s="50" t="n">
        <v>850156935</v>
      </c>
      <c r="L21" s="50" t="n">
        <v>1360100513</v>
      </c>
      <c r="M21" s="50" t="n">
        <v>849767071</v>
      </c>
      <c r="O21" s="50" t="n">
        <v>0</v>
      </c>
      <c r="P21" s="50" t="n">
        <v>1614791978</v>
      </c>
      <c r="Q21" s="50" t="n">
        <v>404460685</v>
      </c>
      <c r="R21" s="50" t="n">
        <v>389951180</v>
      </c>
      <c r="S21" s="50" t="n">
        <v>1172950778</v>
      </c>
      <c r="T21" s="50" t="n">
        <v>565792921</v>
      </c>
    </row>
    <row r="22">
      <c r="A22" s="49" t="n">
        <v>46123</v>
      </c>
      <c r="B22" s="50" t="n">
        <v>5813239994</v>
      </c>
      <c r="C22" s="50" t="n">
        <v>588989432</v>
      </c>
      <c r="D22" s="50" t="n">
        <v>4147947542</v>
      </c>
      <c r="E22" s="50" t="n">
        <v>840017125</v>
      </c>
      <c r="F22" s="50" t="n">
        <v>236285896</v>
      </c>
      <c r="H22" s="50" t="n">
        <v>250353820</v>
      </c>
      <c r="I22" s="50" t="n">
        <v>2003064035</v>
      </c>
      <c r="J22" s="50" t="n">
        <v>499797620</v>
      </c>
      <c r="K22" s="50" t="n">
        <v>850156935</v>
      </c>
      <c r="L22" s="50" t="n">
        <v>1360100513</v>
      </c>
      <c r="M22" s="50" t="n">
        <v>849767071</v>
      </c>
      <c r="O22" s="50" t="n">
        <v>0</v>
      </c>
      <c r="P22" s="50" t="n">
        <v>1614791978</v>
      </c>
      <c r="Q22" s="50" t="n">
        <v>404460685</v>
      </c>
      <c r="R22" s="50" t="n">
        <v>389951180</v>
      </c>
      <c r="S22" s="50" t="n">
        <v>1172950778</v>
      </c>
      <c r="T22" s="50" t="n">
        <v>565792921</v>
      </c>
    </row>
    <row r="23">
      <c r="A23" s="49" t="n">
        <v>46122</v>
      </c>
      <c r="B23" s="50" t="n">
        <v>5814825634</v>
      </c>
      <c r="C23" s="50" t="n">
        <v>586154330</v>
      </c>
      <c r="D23" s="50" t="n">
        <v>4153314838</v>
      </c>
      <c r="E23" s="50" t="n">
        <v>839476417</v>
      </c>
      <c r="F23" s="50" t="n">
        <v>235880049</v>
      </c>
      <c r="H23" s="50" t="n">
        <v>246572175</v>
      </c>
      <c r="I23" s="50" t="n">
        <v>2003434916</v>
      </c>
      <c r="J23" s="50" t="n">
        <v>499797620</v>
      </c>
      <c r="K23" s="50" t="n">
        <v>850156935</v>
      </c>
      <c r="L23" s="50" t="n">
        <v>1364179075</v>
      </c>
      <c r="M23" s="50" t="n">
        <v>850684913</v>
      </c>
      <c r="O23" s="50" t="n">
        <v>0</v>
      </c>
      <c r="P23" s="50" t="n">
        <v>1615162871</v>
      </c>
      <c r="Q23" s="50" t="n">
        <v>404460685</v>
      </c>
      <c r="R23" s="50" t="n">
        <v>389951180</v>
      </c>
      <c r="S23" s="50" t="n">
        <v>1177029340</v>
      </c>
      <c r="T23" s="50" t="n">
        <v>566710763</v>
      </c>
    </row>
    <row r="24">
      <c r="A24" s="49" t="n">
        <v>46121</v>
      </c>
      <c r="B24" s="50" t="n">
        <v>5754975047</v>
      </c>
      <c r="C24" s="50" t="n">
        <v>582538913</v>
      </c>
      <c r="D24" s="50" t="n">
        <v>4105918615</v>
      </c>
      <c r="E24" s="50" t="n">
        <v>831952409</v>
      </c>
      <c r="F24" s="50" t="n">
        <v>234565110</v>
      </c>
      <c r="H24" s="50" t="n">
        <v>243715475</v>
      </c>
      <c r="I24" s="50" t="n">
        <v>2000552187</v>
      </c>
      <c r="J24" s="50" t="n">
        <v>495777800</v>
      </c>
      <c r="K24" s="50" t="n">
        <v>838353205</v>
      </c>
      <c r="L24" s="50" t="n">
        <v>1328089843</v>
      </c>
      <c r="M24" s="50" t="n">
        <v>848486537</v>
      </c>
      <c r="O24" s="50" t="n">
        <v>0</v>
      </c>
      <c r="P24" s="50" t="n">
        <v>1613135690</v>
      </c>
      <c r="Q24" s="50" t="n">
        <v>401207650</v>
      </c>
      <c r="R24" s="50" t="n">
        <v>384621315</v>
      </c>
      <c r="S24" s="50" t="n">
        <v>1142372473</v>
      </c>
      <c r="T24" s="50" t="n">
        <v>564581487</v>
      </c>
    </row>
    <row r="25">
      <c r="A25" s="49" t="n">
        <v>46120</v>
      </c>
      <c r="B25" s="50" t="n">
        <v>5767679821</v>
      </c>
      <c r="C25" s="50" t="n">
        <v>585186810</v>
      </c>
      <c r="D25" s="50" t="n">
        <v>4113262345</v>
      </c>
      <c r="E25" s="50" t="n">
        <v>834119244</v>
      </c>
      <c r="F25" s="50" t="n">
        <v>235111422</v>
      </c>
      <c r="H25" s="50" t="n">
        <v>245387363</v>
      </c>
      <c r="I25" s="50" t="n">
        <v>1998034960</v>
      </c>
      <c r="J25" s="50" t="n">
        <v>503738620</v>
      </c>
      <c r="K25" s="50" t="n">
        <v>847976870</v>
      </c>
      <c r="L25" s="50" t="n">
        <v>1325262568</v>
      </c>
      <c r="M25" s="50" t="n">
        <v>847279440</v>
      </c>
      <c r="O25" s="50" t="n">
        <v>0</v>
      </c>
      <c r="P25" s="50" t="n">
        <v>1611283432</v>
      </c>
      <c r="Q25" s="50" t="n">
        <v>407649935</v>
      </c>
      <c r="R25" s="50" t="n">
        <v>390962420</v>
      </c>
      <c r="S25" s="50" t="n">
        <v>1139971618</v>
      </c>
      <c r="T25" s="50" t="n">
        <v>563394940</v>
      </c>
    </row>
    <row r="26">
      <c r="A26" s="49" t="n">
        <v>46119</v>
      </c>
      <c r="B26" s="50" t="n">
        <v>5763640060</v>
      </c>
      <c r="C26" s="50" t="n">
        <v>576662879</v>
      </c>
      <c r="D26" s="50" t="n">
        <v>4127537011</v>
      </c>
      <c r="E26" s="50" t="n">
        <v>826666742</v>
      </c>
      <c r="F26" s="50" t="n">
        <v>232773428</v>
      </c>
      <c r="H26" s="50" t="n">
        <v>238663013</v>
      </c>
      <c r="I26" s="50" t="n">
        <v>2012274826</v>
      </c>
      <c r="J26" s="50" t="n">
        <v>494043760</v>
      </c>
      <c r="K26" s="50" t="n">
        <v>814902105</v>
      </c>
      <c r="L26" s="50" t="n">
        <v>1343405838</v>
      </c>
      <c r="M26" s="50" t="n">
        <v>860350517</v>
      </c>
      <c r="O26" s="50" t="n">
        <v>0</v>
      </c>
      <c r="P26" s="50" t="n">
        <v>1625779810</v>
      </c>
      <c r="Q26" s="50" t="n">
        <v>399804380</v>
      </c>
      <c r="R26" s="50" t="n">
        <v>367326145</v>
      </c>
      <c r="S26" s="50" t="n">
        <v>1160892333</v>
      </c>
      <c r="T26" s="50" t="n">
        <v>573734342</v>
      </c>
    </row>
    <row r="27">
      <c r="A27" s="49" t="n">
        <v>46118</v>
      </c>
      <c r="B27" s="50" t="n">
        <v>5768792779</v>
      </c>
      <c r="C27" s="50" t="n">
        <v>578147581</v>
      </c>
      <c r="D27" s="50" t="n">
        <v>4126333299</v>
      </c>
      <c r="E27" s="50" t="n">
        <v>831111081</v>
      </c>
      <c r="F27" s="50" t="n">
        <v>233200818</v>
      </c>
      <c r="H27" s="50" t="n">
        <v>239900807</v>
      </c>
      <c r="I27" s="50" t="n">
        <v>2013335927</v>
      </c>
      <c r="J27" s="50" t="n">
        <v>497669480</v>
      </c>
      <c r="K27" s="50" t="n">
        <v>817878225</v>
      </c>
      <c r="L27" s="50" t="n">
        <v>1338958820</v>
      </c>
      <c r="M27" s="50" t="n">
        <v>861049520</v>
      </c>
      <c r="O27" s="50" t="n">
        <v>0</v>
      </c>
      <c r="P27" s="50" t="n">
        <v>1626550644</v>
      </c>
      <c r="Q27" s="50" t="n">
        <v>402738490</v>
      </c>
      <c r="R27" s="50" t="n">
        <v>365966135</v>
      </c>
      <c r="S27" s="50" t="n">
        <v>1156377785</v>
      </c>
      <c r="T27" s="50" t="n">
        <v>574700245</v>
      </c>
    </row>
    <row r="28">
      <c r="A28" s="49" t="n">
        <v>46117</v>
      </c>
      <c r="B28" s="50" t="n">
        <v>5781588577</v>
      </c>
      <c r="C28" s="50" t="n">
        <v>574599433</v>
      </c>
      <c r="D28" s="50" t="n">
        <v>4137216623</v>
      </c>
      <c r="E28" s="50" t="n">
        <v>836887063</v>
      </c>
      <c r="F28" s="50" t="n">
        <v>232885459</v>
      </c>
      <c r="H28" s="50" t="n">
        <v>233729188</v>
      </c>
      <c r="I28" s="50" t="n">
        <v>2015853775</v>
      </c>
      <c r="J28" s="50" t="n">
        <v>499955260</v>
      </c>
      <c r="K28" s="50" t="n">
        <v>825514100</v>
      </c>
      <c r="L28" s="50" t="n">
        <v>1342479212</v>
      </c>
      <c r="M28" s="50" t="n">
        <v>864057042</v>
      </c>
      <c r="O28" s="50" t="n">
        <v>0</v>
      </c>
      <c r="P28" s="50" t="n">
        <v>1629343944</v>
      </c>
      <c r="Q28" s="50" t="n">
        <v>404588255</v>
      </c>
      <c r="R28" s="50" t="n">
        <v>366180465</v>
      </c>
      <c r="S28" s="50" t="n">
        <v>1160403167</v>
      </c>
      <c r="T28" s="50" t="n">
        <v>576700792</v>
      </c>
    </row>
    <row r="29">
      <c r="A29" s="49" t="n">
        <v>46116</v>
      </c>
      <c r="B29" s="50" t="n">
        <v>5787879665</v>
      </c>
      <c r="C29" s="50" t="n">
        <v>574903955</v>
      </c>
      <c r="D29" s="50" t="n">
        <v>4143055185</v>
      </c>
      <c r="E29" s="50" t="n">
        <v>836975541</v>
      </c>
      <c r="F29" s="50" t="n">
        <v>232944984</v>
      </c>
      <c r="H29" s="50" t="n">
        <v>234181714</v>
      </c>
      <c r="I29" s="50" t="n">
        <v>2017713421</v>
      </c>
      <c r="J29" s="50" t="n">
        <v>499955260</v>
      </c>
      <c r="K29" s="50" t="n">
        <v>825514100</v>
      </c>
      <c r="L29" s="50" t="n">
        <v>1345137169</v>
      </c>
      <c r="M29" s="50" t="n">
        <v>865378001</v>
      </c>
      <c r="O29" s="50" t="n">
        <v>0</v>
      </c>
      <c r="P29" s="50" t="n">
        <v>1631203590</v>
      </c>
      <c r="Q29" s="50" t="n">
        <v>404588255</v>
      </c>
      <c r="R29" s="50" t="n">
        <v>366180465</v>
      </c>
      <c r="S29" s="50" t="n">
        <v>1163061124</v>
      </c>
      <c r="T29" s="50" t="n">
        <v>578021751</v>
      </c>
    </row>
    <row r="30">
      <c r="A30" s="49" t="n">
        <v>46115</v>
      </c>
      <c r="B30" s="50" t="n">
        <v>5775134268</v>
      </c>
      <c r="C30" s="50" t="n">
        <v>574104620</v>
      </c>
      <c r="D30" s="50" t="n">
        <v>4131259823</v>
      </c>
      <c r="E30" s="50" t="n">
        <v>836899316</v>
      </c>
      <c r="F30" s="50" t="n">
        <v>232870510</v>
      </c>
      <c r="H30" s="50" t="n">
        <v>233231714</v>
      </c>
      <c r="I30" s="50" t="n">
        <v>2013956433</v>
      </c>
      <c r="J30" s="50" t="n">
        <v>499955260</v>
      </c>
      <c r="K30" s="50" t="n">
        <v>825514100</v>
      </c>
      <c r="L30" s="50" t="n">
        <v>1339767429</v>
      </c>
      <c r="M30" s="50" t="n">
        <v>862709331</v>
      </c>
      <c r="O30" s="50" t="n">
        <v>0</v>
      </c>
      <c r="P30" s="50" t="n">
        <v>1627446637</v>
      </c>
      <c r="Q30" s="50" t="n">
        <v>404588255</v>
      </c>
      <c r="R30" s="50" t="n">
        <v>366180465</v>
      </c>
      <c r="S30" s="50" t="n">
        <v>1157691384</v>
      </c>
      <c r="T30" s="50" t="n">
        <v>575353081</v>
      </c>
    </row>
    <row r="31">
      <c r="A31" s="49" t="n">
        <v>46114</v>
      </c>
      <c r="B31" s="50" t="n">
        <v>5764654914</v>
      </c>
      <c r="C31" s="50" t="n">
        <v>572968093</v>
      </c>
      <c r="D31" s="50" t="n">
        <v>4130547386</v>
      </c>
      <c r="E31" s="50" t="n">
        <v>828991013</v>
      </c>
      <c r="F31" s="50" t="n">
        <v>232148422</v>
      </c>
      <c r="H31" s="50" t="n">
        <v>234253687</v>
      </c>
      <c r="I31" s="50" t="n">
        <v>2018297676</v>
      </c>
      <c r="J31" s="50" t="n">
        <v>490496860</v>
      </c>
      <c r="K31" s="50" t="n">
        <v>813576140</v>
      </c>
      <c r="L31" s="50" t="n">
        <v>1344182272</v>
      </c>
      <c r="M31" s="50" t="n">
        <v>863848279</v>
      </c>
      <c r="O31" s="50" t="n">
        <v>0</v>
      </c>
      <c r="P31" s="50" t="n">
        <v>1632321391</v>
      </c>
      <c r="Q31" s="50" t="n">
        <v>396934055</v>
      </c>
      <c r="R31" s="50" t="n">
        <v>361307540</v>
      </c>
      <c r="S31" s="50" t="n">
        <v>1163243197</v>
      </c>
      <c r="T31" s="50" t="n">
        <v>576741204</v>
      </c>
    </row>
    <row r="32">
      <c r="A32" s="49" t="n">
        <v>46113</v>
      </c>
      <c r="B32" s="50" t="n">
        <v>5771473637</v>
      </c>
      <c r="C32" s="50" t="n">
        <v>581628886</v>
      </c>
      <c r="D32" s="50" t="n">
        <v>4112321187</v>
      </c>
      <c r="E32" s="50" t="n">
        <v>843077109</v>
      </c>
      <c r="F32" s="50" t="n">
        <v>234446454</v>
      </c>
      <c r="H32" s="50" t="n">
        <v>240162927</v>
      </c>
      <c r="I32" s="50" t="n">
        <v>2009087707</v>
      </c>
      <c r="J32" s="50" t="n">
        <v>501846940</v>
      </c>
      <c r="K32" s="50" t="n">
        <v>851461810</v>
      </c>
      <c r="L32" s="50" t="n">
        <v>1309983165</v>
      </c>
      <c r="M32" s="50" t="n">
        <v>858931088</v>
      </c>
      <c r="O32" s="50" t="n">
        <v>0</v>
      </c>
      <c r="P32" s="50" t="n">
        <v>1623811674</v>
      </c>
      <c r="Q32" s="50" t="n">
        <v>406119095</v>
      </c>
      <c r="R32" s="50" t="n">
        <v>381590355</v>
      </c>
      <c r="S32" s="50" t="n">
        <v>1128782280</v>
      </c>
      <c r="T32" s="50" t="n">
        <v>572017783</v>
      </c>
    </row>
    <row r="33">
      <c r="A33" s="49" t="n">
        <v>46112</v>
      </c>
      <c r="B33" s="50" t="n">
        <v>5746431198</v>
      </c>
      <c r="C33" s="50" t="n">
        <v>577770975</v>
      </c>
      <c r="D33" s="50" t="n">
        <v>4103315160</v>
      </c>
      <c r="E33" s="50" t="n">
        <v>832432028</v>
      </c>
      <c r="F33" s="50" t="n">
        <v>232913036</v>
      </c>
      <c r="H33" s="50" t="n">
        <v>238273294</v>
      </c>
      <c r="I33" s="50" t="n">
        <v>2024684370</v>
      </c>
      <c r="J33" s="50" t="n">
        <v>497196560</v>
      </c>
      <c r="K33" s="50" t="n">
        <v>809890395</v>
      </c>
      <c r="L33" s="50" t="n">
        <v>1302417773</v>
      </c>
      <c r="M33" s="50" t="n">
        <v>873968806</v>
      </c>
      <c r="O33" s="50" t="n">
        <v>0</v>
      </c>
      <c r="P33" s="50" t="n">
        <v>1639806871</v>
      </c>
      <c r="Q33" s="50" t="n">
        <v>402355780</v>
      </c>
      <c r="R33" s="50" t="n">
        <v>353808725</v>
      </c>
      <c r="S33" s="50" t="n">
        <v>1123930043</v>
      </c>
      <c r="T33" s="50" t="n">
        <v>583413741</v>
      </c>
    </row>
    <row r="34">
      <c r="A34" s="49" t="n">
        <v>46111</v>
      </c>
      <c r="B34" s="50" t="n">
        <v>5741989420</v>
      </c>
      <c r="C34" s="50" t="n">
        <v>575132447</v>
      </c>
      <c r="D34" s="50" t="n">
        <v>4097436852</v>
      </c>
      <c r="E34" s="50" t="n">
        <v>837961712</v>
      </c>
      <c r="F34" s="50" t="n">
        <v>231458410</v>
      </c>
      <c r="H34" s="50" t="n">
        <v>236512452</v>
      </c>
      <c r="I34" s="50" t="n">
        <v>2018177664</v>
      </c>
      <c r="J34" s="50" t="n">
        <v>488132260</v>
      </c>
      <c r="K34" s="50" t="n">
        <v>839992530</v>
      </c>
      <c r="L34" s="50" t="n">
        <v>1298299343</v>
      </c>
      <c r="M34" s="50" t="n">
        <v>860875171</v>
      </c>
      <c r="O34" s="50" t="n">
        <v>0</v>
      </c>
      <c r="P34" s="50" t="n">
        <v>1634147977</v>
      </c>
      <c r="Q34" s="50" t="n">
        <v>395020505</v>
      </c>
      <c r="R34" s="50" t="n">
        <v>372061665</v>
      </c>
      <c r="S34" s="50" t="n">
        <v>1121268173</v>
      </c>
      <c r="T34" s="50" t="n">
        <v>574938531</v>
      </c>
    </row>
    <row r="35">
      <c r="A35" s="49" t="n">
        <v>46110</v>
      </c>
      <c r="B35" s="50" t="n">
        <v>5732938921</v>
      </c>
      <c r="C35" s="50" t="n">
        <v>572565254</v>
      </c>
      <c r="D35" s="50" t="n">
        <v>4084933078</v>
      </c>
      <c r="E35" s="50" t="n">
        <v>842866260</v>
      </c>
      <c r="F35" s="50" t="n">
        <v>232574329</v>
      </c>
      <c r="H35" s="50" t="n">
        <v>231769404</v>
      </c>
      <c r="I35" s="50" t="n">
        <v>2014111021</v>
      </c>
      <c r="J35" s="50" t="n">
        <v>478043300</v>
      </c>
      <c r="K35" s="50" t="n">
        <v>857730635</v>
      </c>
      <c r="L35" s="50" t="n">
        <v>1294323037</v>
      </c>
      <c r="M35" s="50" t="n">
        <v>856961524</v>
      </c>
      <c r="O35" s="50" t="n">
        <v>0</v>
      </c>
      <c r="P35" s="50" t="n">
        <v>1628710937</v>
      </c>
      <c r="Q35" s="50" t="n">
        <v>386856025</v>
      </c>
      <c r="R35" s="50" t="n">
        <v>384364045</v>
      </c>
      <c r="S35" s="50" t="n">
        <v>1113861412</v>
      </c>
      <c r="T35" s="50" t="n">
        <v>571140659</v>
      </c>
    </row>
    <row r="36">
      <c r="A36" s="49" t="n">
        <v>46109</v>
      </c>
      <c r="B36" s="50" t="n">
        <v>5732494156</v>
      </c>
      <c r="C36" s="50" t="n">
        <v>572195934</v>
      </c>
      <c r="D36" s="50" t="n">
        <v>4084933078</v>
      </c>
      <c r="E36" s="50" t="n">
        <v>842827225</v>
      </c>
      <c r="F36" s="50" t="n">
        <v>232537919</v>
      </c>
      <c r="H36" s="50" t="n">
        <v>231324637</v>
      </c>
      <c r="I36" s="50" t="n">
        <v>2014111022</v>
      </c>
      <c r="J36" s="50" t="n">
        <v>478043300</v>
      </c>
      <c r="K36" s="50" t="n">
        <v>857730635</v>
      </c>
      <c r="L36" s="50" t="n">
        <v>1294323037</v>
      </c>
      <c r="M36" s="50" t="n">
        <v>856961524</v>
      </c>
      <c r="O36" s="50" t="n">
        <v>0</v>
      </c>
      <c r="P36" s="50" t="n">
        <v>1628710937</v>
      </c>
      <c r="Q36" s="50" t="n">
        <v>386856025</v>
      </c>
      <c r="R36" s="50" t="n">
        <v>384364045</v>
      </c>
      <c r="S36" s="50" t="n">
        <v>1113861412</v>
      </c>
      <c r="T36" s="50" t="n">
        <v>571140659</v>
      </c>
    </row>
    <row r="37">
      <c r="A37" s="49" t="n">
        <v>46108</v>
      </c>
      <c r="B37" s="50" t="n">
        <v>5751520829</v>
      </c>
      <c r="C37" s="50" t="n">
        <v>577859122</v>
      </c>
      <c r="D37" s="50" t="n">
        <v>4096662492</v>
      </c>
      <c r="E37" s="50" t="n">
        <v>843738877</v>
      </c>
      <c r="F37" s="50" t="n">
        <v>233260337</v>
      </c>
      <c r="H37" s="50" t="n">
        <v>238621928</v>
      </c>
      <c r="I37" s="50" t="n">
        <v>2012176090</v>
      </c>
      <c r="J37" s="50" t="n">
        <v>478043300</v>
      </c>
      <c r="K37" s="50" t="n">
        <v>857730635</v>
      </c>
      <c r="L37" s="50" t="n">
        <v>1308404721</v>
      </c>
      <c r="M37" s="50" t="n">
        <v>856544155</v>
      </c>
      <c r="O37" s="50" t="n">
        <v>0</v>
      </c>
      <c r="P37" s="50" t="n">
        <v>1626776036</v>
      </c>
      <c r="Q37" s="50" t="n">
        <v>386856025</v>
      </c>
      <c r="R37" s="50" t="n">
        <v>384364045</v>
      </c>
      <c r="S37" s="50" t="n">
        <v>1127943096</v>
      </c>
      <c r="T37" s="50" t="n">
        <v>570723290</v>
      </c>
    </row>
    <row r="38">
      <c r="A38" s="49" t="n">
        <v>46107</v>
      </c>
      <c r="B38" s="50" t="n">
        <v>5766944421</v>
      </c>
      <c r="C38" s="50" t="n">
        <v>581618067</v>
      </c>
      <c r="D38" s="50" t="n">
        <v>4111883301</v>
      </c>
      <c r="E38" s="50" t="n">
        <v>838815938</v>
      </c>
      <c r="F38" s="50" t="n">
        <v>234627115</v>
      </c>
      <c r="H38" s="50" t="n">
        <v>243541571</v>
      </c>
      <c r="I38" s="50" t="n">
        <v>2011908844</v>
      </c>
      <c r="J38" s="50" t="n">
        <v>474496400</v>
      </c>
      <c r="K38" s="50" t="n">
        <v>850298490</v>
      </c>
      <c r="L38" s="50" t="n">
        <v>1327029688</v>
      </c>
      <c r="M38" s="50" t="n">
        <v>859669428</v>
      </c>
      <c r="O38" s="50" t="n">
        <v>0</v>
      </c>
      <c r="P38" s="50" t="n">
        <v>1626220000</v>
      </c>
      <c r="Q38" s="50" t="n">
        <v>383985700</v>
      </c>
      <c r="R38" s="50" t="n">
        <v>384095640</v>
      </c>
      <c r="S38" s="50" t="n">
        <v>1144440508</v>
      </c>
      <c r="T38" s="50" t="n">
        <v>573141453</v>
      </c>
    </row>
    <row r="39">
      <c r="A39" s="49" t="n">
        <v>46106</v>
      </c>
      <c r="B39" s="50" t="n">
        <v>5780390915</v>
      </c>
      <c r="C39" s="50" t="n">
        <v>585817519</v>
      </c>
      <c r="D39" s="50" t="n">
        <v>4116453173</v>
      </c>
      <c r="E39" s="50" t="n">
        <v>842735759</v>
      </c>
      <c r="F39" s="50" t="n">
        <v>235384463</v>
      </c>
      <c r="H39" s="50" t="n">
        <v>246278266</v>
      </c>
      <c r="I39" s="50" t="n">
        <v>2008622422</v>
      </c>
      <c r="J39" s="50" t="n">
        <v>485767660</v>
      </c>
      <c r="K39" s="50" t="n">
        <v>866922640</v>
      </c>
      <c r="L39" s="50" t="n">
        <v>1318819559</v>
      </c>
      <c r="M39" s="50" t="n">
        <v>853980368</v>
      </c>
      <c r="O39" s="50" t="n">
        <v>0</v>
      </c>
      <c r="P39" s="50" t="n">
        <v>1623087771</v>
      </c>
      <c r="Q39" s="50" t="n">
        <v>393106955</v>
      </c>
      <c r="R39" s="50" t="n">
        <v>395306945</v>
      </c>
      <c r="S39" s="50" t="n">
        <v>1136637779</v>
      </c>
      <c r="T39" s="50" t="n">
        <v>568313723</v>
      </c>
    </row>
    <row r="40">
      <c r="A40" s="49" t="n">
        <v>46105</v>
      </c>
      <c r="B40" s="50" t="n">
        <v>5743473167</v>
      </c>
      <c r="C40" s="50" t="n">
        <v>580101195</v>
      </c>
      <c r="D40" s="50" t="n">
        <v>4091832774</v>
      </c>
      <c r="E40" s="50" t="n">
        <v>838582751</v>
      </c>
      <c r="F40" s="50" t="n">
        <v>232956447</v>
      </c>
      <c r="H40" s="50" t="n">
        <v>245777874</v>
      </c>
      <c r="I40" s="50" t="n">
        <v>2006883790</v>
      </c>
      <c r="J40" s="50" t="n">
        <v>465353280</v>
      </c>
      <c r="K40" s="50" t="n">
        <v>852789230</v>
      </c>
      <c r="L40" s="50" t="n">
        <v>1319964629</v>
      </c>
      <c r="M40" s="50" t="n">
        <v>852704363</v>
      </c>
      <c r="O40" s="50" t="n">
        <v>0</v>
      </c>
      <c r="P40" s="50" t="n">
        <v>1621588857</v>
      </c>
      <c r="Q40" s="50" t="n">
        <v>376586640</v>
      </c>
      <c r="R40" s="50" t="n">
        <v>386344005</v>
      </c>
      <c r="S40" s="50" t="n">
        <v>1138535339</v>
      </c>
      <c r="T40" s="50" t="n">
        <v>568777933</v>
      </c>
    </row>
    <row r="41">
      <c r="A41" s="49" t="n">
        <v>46104</v>
      </c>
      <c r="B41" s="50" t="n">
        <v>5726768895</v>
      </c>
      <c r="C41" s="50" t="n">
        <v>574237647</v>
      </c>
      <c r="D41" s="50" t="n">
        <v>4092605994</v>
      </c>
      <c r="E41" s="50" t="n">
        <v>827907845</v>
      </c>
      <c r="F41" s="50" t="n">
        <v>232017409</v>
      </c>
      <c r="H41" s="50" t="n">
        <v>239213455</v>
      </c>
      <c r="I41" s="50" t="n">
        <v>2014566004</v>
      </c>
      <c r="J41" s="50" t="n">
        <v>461333460</v>
      </c>
      <c r="K41" s="50" t="n">
        <v>831932960</v>
      </c>
      <c r="L41" s="50" t="n">
        <v>1321153831</v>
      </c>
      <c r="M41" s="50" t="n">
        <v>858569184</v>
      </c>
      <c r="O41" s="50" t="n">
        <v>0</v>
      </c>
      <c r="P41" s="50" t="n">
        <v>1629396769</v>
      </c>
      <c r="Q41" s="50" t="n">
        <v>373333605</v>
      </c>
      <c r="R41" s="50" t="n">
        <v>376783010</v>
      </c>
      <c r="S41" s="50" t="n">
        <v>1140095626</v>
      </c>
      <c r="T41" s="50" t="n">
        <v>572996984</v>
      </c>
    </row>
    <row r="42">
      <c r="A42" s="49" t="n">
        <v>46103</v>
      </c>
      <c r="B42" s="50" t="n">
        <v>5800223771</v>
      </c>
      <c r="C42" s="50" t="n">
        <v>584544530</v>
      </c>
      <c r="D42" s="50" t="n">
        <v>4137954138</v>
      </c>
      <c r="E42" s="50" t="n">
        <v>841296848</v>
      </c>
      <c r="F42" s="50" t="n">
        <v>236428255</v>
      </c>
      <c r="H42" s="50" t="n">
        <v>240167074</v>
      </c>
      <c r="I42" s="50" t="n">
        <v>2013581624</v>
      </c>
      <c r="J42" s="50" t="n">
        <v>499245880</v>
      </c>
      <c r="K42" s="50" t="n">
        <v>868835095</v>
      </c>
      <c r="L42" s="50" t="n">
        <v>1319636906</v>
      </c>
      <c r="M42" s="50" t="n">
        <v>858757192</v>
      </c>
      <c r="O42" s="50" t="n">
        <v>0</v>
      </c>
      <c r="P42" s="50" t="n">
        <v>1626367611</v>
      </c>
      <c r="Q42" s="50" t="n">
        <v>404014190</v>
      </c>
      <c r="R42" s="50" t="n">
        <v>400774665</v>
      </c>
      <c r="S42" s="50" t="n">
        <v>1135906226</v>
      </c>
      <c r="T42" s="50" t="n">
        <v>570891447</v>
      </c>
    </row>
    <row r="43">
      <c r="A43" s="49" t="n">
        <v>46102</v>
      </c>
      <c r="B43" s="50" t="n">
        <v>5806392345</v>
      </c>
      <c r="C43" s="50" t="n">
        <v>589283876</v>
      </c>
      <c r="D43" s="50" t="n">
        <v>4137954138</v>
      </c>
      <c r="E43" s="50" t="n">
        <v>842100280</v>
      </c>
      <c r="F43" s="50" t="n">
        <v>237054050</v>
      </c>
      <c r="H43" s="50" t="n">
        <v>246335645</v>
      </c>
      <c r="I43" s="50" t="n">
        <v>2013581627</v>
      </c>
      <c r="J43" s="50" t="n">
        <v>499245880</v>
      </c>
      <c r="K43" s="50" t="n">
        <v>868835095</v>
      </c>
      <c r="L43" s="50" t="n">
        <v>1319636906</v>
      </c>
      <c r="M43" s="50" t="n">
        <v>858757192</v>
      </c>
      <c r="O43" s="50" t="n">
        <v>0</v>
      </c>
      <c r="P43" s="50" t="n">
        <v>1626367611</v>
      </c>
      <c r="Q43" s="50" t="n">
        <v>404014190</v>
      </c>
      <c r="R43" s="50" t="n">
        <v>400774665</v>
      </c>
      <c r="S43" s="50" t="n">
        <v>1135906226</v>
      </c>
      <c r="T43" s="50" t="n">
        <v>570891447</v>
      </c>
    </row>
    <row r="44">
      <c r="A44" s="49" t="n">
        <v>46101</v>
      </c>
      <c r="B44" s="50" t="n">
        <v>5817547127</v>
      </c>
      <c r="C44" s="50" t="n">
        <v>589033687</v>
      </c>
      <c r="D44" s="50" t="n">
        <v>4149458784</v>
      </c>
      <c r="E44" s="50" t="n">
        <v>842041970</v>
      </c>
      <c r="F44" s="50" t="n">
        <v>237012686</v>
      </c>
      <c r="H44" s="50" t="n">
        <v>245985858</v>
      </c>
      <c r="I44" s="50" t="n">
        <v>2009926753</v>
      </c>
      <c r="J44" s="50" t="n">
        <v>499245880</v>
      </c>
      <c r="K44" s="50" t="n">
        <v>868835095</v>
      </c>
      <c r="L44" s="50" t="n">
        <v>1331293850</v>
      </c>
      <c r="M44" s="50" t="n">
        <v>862259691</v>
      </c>
      <c r="O44" s="50" t="n">
        <v>0</v>
      </c>
      <c r="P44" s="50" t="n">
        <v>1622712813</v>
      </c>
      <c r="Q44" s="50" t="n">
        <v>404014190</v>
      </c>
      <c r="R44" s="50" t="n">
        <v>400774665</v>
      </c>
      <c r="S44" s="50" t="n">
        <v>1147563170</v>
      </c>
      <c r="T44" s="50" t="n">
        <v>574393946</v>
      </c>
    </row>
    <row r="45">
      <c r="A45" s="49" t="n">
        <v>46100</v>
      </c>
      <c r="B45" s="50" t="n">
        <v>5840547083</v>
      </c>
      <c r="C45" s="50" t="n">
        <v>599322121</v>
      </c>
      <c r="D45" s="50" t="n">
        <v>4163533006</v>
      </c>
      <c r="E45" s="50" t="n">
        <v>839330888</v>
      </c>
      <c r="F45" s="50" t="n">
        <v>238361068</v>
      </c>
      <c r="H45" s="50" t="n">
        <v>256872279</v>
      </c>
      <c r="I45" s="50" t="n">
        <v>2006750828</v>
      </c>
      <c r="J45" s="50" t="n">
        <v>524862380</v>
      </c>
      <c r="K45" s="50" t="n">
        <v>855129180</v>
      </c>
      <c r="L45" s="50" t="n">
        <v>1340272983</v>
      </c>
      <c r="M45" s="50" t="n">
        <v>856659432</v>
      </c>
      <c r="O45" s="50" t="n">
        <v>0</v>
      </c>
      <c r="P45" s="50" t="n">
        <v>1619333855</v>
      </c>
      <c r="Q45" s="50" t="n">
        <v>424744315</v>
      </c>
      <c r="R45" s="50" t="n">
        <v>391943370</v>
      </c>
      <c r="S45" s="50" t="n">
        <v>1155993348</v>
      </c>
      <c r="T45" s="50" t="n">
        <v>571518117</v>
      </c>
    </row>
    <row r="46">
      <c r="A46" s="49" t="n">
        <v>46099</v>
      </c>
      <c r="B46" s="50" t="n">
        <v>5841807083</v>
      </c>
      <c r="C46" s="50" t="n">
        <v>599322121</v>
      </c>
      <c r="D46" s="50" t="n">
        <v>4164793006</v>
      </c>
      <c r="E46" s="50" t="n">
        <v>839330888</v>
      </c>
      <c r="F46" s="50" t="n">
        <v>238361068</v>
      </c>
      <c r="H46" s="50" t="n">
        <v>256872279</v>
      </c>
      <c r="I46" s="50" t="n">
        <v>2006750828</v>
      </c>
      <c r="J46" s="50" t="n">
        <v>524862380</v>
      </c>
      <c r="K46" s="50" t="n">
        <v>856389180</v>
      </c>
      <c r="L46" s="50" t="n">
        <v>1340272983</v>
      </c>
      <c r="M46" s="50" t="n">
        <v>856659432</v>
      </c>
      <c r="O46" s="50" t="n">
        <v>0</v>
      </c>
      <c r="P46" s="50" t="n">
        <v>1619333855</v>
      </c>
      <c r="Q46" s="50" t="n">
        <v>424744315</v>
      </c>
      <c r="R46" s="50" t="n">
        <v>393203370</v>
      </c>
      <c r="S46" s="50" t="n">
        <v>1155993348</v>
      </c>
      <c r="T46" s="50" t="n">
        <v>571518117</v>
      </c>
    </row>
    <row r="47">
      <c r="A47" s="49" t="n">
        <v>46098</v>
      </c>
      <c r="B47" s="50" t="n">
        <v>5841492083</v>
      </c>
      <c r="C47" s="50" t="n">
        <v>599322121</v>
      </c>
      <c r="D47" s="50" t="n">
        <v>4164478006</v>
      </c>
      <c r="E47" s="50" t="n">
        <v>839330888</v>
      </c>
      <c r="F47" s="50" t="n">
        <v>238361068</v>
      </c>
      <c r="H47" s="50" t="n">
        <v>256872279</v>
      </c>
      <c r="I47" s="50" t="n">
        <v>2006750828</v>
      </c>
      <c r="J47" s="50" t="n">
        <v>524862380</v>
      </c>
      <c r="K47" s="50" t="n">
        <v>856074180</v>
      </c>
      <c r="L47" s="50" t="n">
        <v>1340272983</v>
      </c>
      <c r="M47" s="50" t="n">
        <v>856659432</v>
      </c>
      <c r="O47" s="50" t="n">
        <v>0</v>
      </c>
      <c r="P47" s="50" t="n">
        <v>1619333855</v>
      </c>
      <c r="Q47" s="50" t="n">
        <v>424744315</v>
      </c>
      <c r="R47" s="50" t="n">
        <v>392888370</v>
      </c>
      <c r="S47" s="50" t="n">
        <v>1155993348</v>
      </c>
      <c r="T47" s="50" t="n">
        <v>571518117</v>
      </c>
    </row>
    <row r="48">
      <c r="A48" s="49" t="n">
        <v>46097</v>
      </c>
      <c r="B48" s="50" t="n">
        <v>5840736805</v>
      </c>
      <c r="C48" s="50" t="n">
        <v>598723880</v>
      </c>
      <c r="D48" s="50" t="n">
        <v>4161075129</v>
      </c>
      <c r="E48" s="50" t="n">
        <v>842217151</v>
      </c>
      <c r="F48" s="50" t="n">
        <v>238720645</v>
      </c>
      <c r="H48" s="50" t="n">
        <v>255077569</v>
      </c>
      <c r="I48" s="50" t="n">
        <v>2005317792</v>
      </c>
      <c r="J48" s="50" t="n">
        <v>528094000</v>
      </c>
      <c r="K48" s="50" t="n">
        <v>856494010</v>
      </c>
      <c r="L48" s="50" t="n">
        <v>1339116657</v>
      </c>
      <c r="M48" s="50" t="n">
        <v>856636778</v>
      </c>
      <c r="O48" s="50" t="n">
        <v>0</v>
      </c>
      <c r="P48" s="50" t="n">
        <v>1618225040</v>
      </c>
      <c r="Q48" s="50" t="n">
        <v>427359500</v>
      </c>
      <c r="R48" s="50" t="n">
        <v>390321490</v>
      </c>
      <c r="S48" s="50" t="n">
        <v>1154405412</v>
      </c>
      <c r="T48" s="50" t="n">
        <v>570763688</v>
      </c>
    </row>
    <row r="49">
      <c r="A49" s="49" t="n">
        <v>46096</v>
      </c>
      <c r="B49" s="50" t="n">
        <v>5855549759</v>
      </c>
      <c r="C49" s="50" t="n">
        <v>594372278</v>
      </c>
      <c r="D49" s="50" t="n">
        <v>4173572705</v>
      </c>
      <c r="E49" s="50" t="n">
        <v>849639504</v>
      </c>
      <c r="F49" s="50" t="n">
        <v>237965271</v>
      </c>
      <c r="H49" s="50" t="n">
        <v>247275602</v>
      </c>
      <c r="I49" s="50" t="n">
        <v>2010552885</v>
      </c>
      <c r="J49" s="50" t="n">
        <v>535187800</v>
      </c>
      <c r="K49" s="50" t="n">
        <v>866983080</v>
      </c>
      <c r="L49" s="50" t="n">
        <v>1337975338</v>
      </c>
      <c r="M49" s="50" t="n">
        <v>857575054</v>
      </c>
      <c r="O49" s="50" t="n">
        <v>0</v>
      </c>
      <c r="P49" s="50" t="n">
        <v>1623491773</v>
      </c>
      <c r="Q49" s="50" t="n">
        <v>433100150</v>
      </c>
      <c r="R49" s="50" t="n">
        <v>390879870</v>
      </c>
      <c r="S49" s="50" t="n">
        <v>1153621618</v>
      </c>
      <c r="T49" s="50" t="n">
        <v>572479294</v>
      </c>
    </row>
    <row r="50">
      <c r="A50" s="49" t="n">
        <v>46095</v>
      </c>
      <c r="B50" s="50" t="n">
        <v>5850962699</v>
      </c>
      <c r="C50" s="50" t="n">
        <v>590978064</v>
      </c>
      <c r="D50" s="50" t="n">
        <v>4173572705</v>
      </c>
      <c r="E50" s="50" t="n">
        <v>848953048</v>
      </c>
      <c r="F50" s="50" t="n">
        <v>237458882</v>
      </c>
      <c r="H50" s="50" t="n">
        <v>242688466</v>
      </c>
      <c r="I50" s="50" t="n">
        <v>2010552961</v>
      </c>
      <c r="J50" s="50" t="n">
        <v>535187800</v>
      </c>
      <c r="K50" s="50" t="n">
        <v>866983080</v>
      </c>
      <c r="L50" s="50" t="n">
        <v>1337975338</v>
      </c>
      <c r="M50" s="50" t="n">
        <v>857575054</v>
      </c>
      <c r="O50" s="50" t="n">
        <v>0</v>
      </c>
      <c r="P50" s="50" t="n">
        <v>1623491773</v>
      </c>
      <c r="Q50" s="50" t="n">
        <v>433100150</v>
      </c>
      <c r="R50" s="50" t="n">
        <v>390879870</v>
      </c>
      <c r="S50" s="50" t="n">
        <v>1153621618</v>
      </c>
      <c r="T50" s="50" t="n">
        <v>572479294</v>
      </c>
    </row>
    <row r="51">
      <c r="A51" s="49" t="n">
        <v>46094</v>
      </c>
      <c r="B51" s="50" t="n">
        <v>5849497834</v>
      </c>
      <c r="C51" s="50" t="n">
        <v>589830133</v>
      </c>
      <c r="D51" s="50" t="n">
        <v>4173572705</v>
      </c>
      <c r="E51" s="50" t="n">
        <v>848777632</v>
      </c>
      <c r="F51" s="50" t="n">
        <v>237317364</v>
      </c>
      <c r="H51" s="50" t="n">
        <v>241223644</v>
      </c>
      <c r="I51" s="50" t="n">
        <v>2010552918</v>
      </c>
      <c r="J51" s="50" t="n">
        <v>535187800</v>
      </c>
      <c r="K51" s="50" t="n">
        <v>866983080</v>
      </c>
      <c r="L51" s="50" t="n">
        <v>1337975338</v>
      </c>
      <c r="M51" s="50" t="n">
        <v>857575054</v>
      </c>
      <c r="O51" s="50" t="n">
        <v>0</v>
      </c>
      <c r="P51" s="50" t="n">
        <v>1623491773</v>
      </c>
      <c r="Q51" s="50" t="n">
        <v>433100150</v>
      </c>
      <c r="R51" s="50" t="n">
        <v>390879870</v>
      </c>
      <c r="S51" s="50" t="n">
        <v>1153621618</v>
      </c>
      <c r="T51" s="50" t="n">
        <v>572479294</v>
      </c>
    </row>
    <row r="52">
      <c r="A52" s="49" t="n">
        <v>46093</v>
      </c>
      <c r="B52" s="50" t="n">
        <v>5829584307</v>
      </c>
      <c r="C52" s="50" t="n">
        <v>587147887</v>
      </c>
      <c r="D52" s="50" t="n">
        <v>4170468424</v>
      </c>
      <c r="E52" s="50" t="n">
        <v>835508363</v>
      </c>
      <c r="F52" s="50" t="n">
        <v>236459632</v>
      </c>
      <c r="H52" s="50" t="n">
        <v>238465749</v>
      </c>
      <c r="I52" s="50" t="n">
        <v>2007913814</v>
      </c>
      <c r="J52" s="50" t="n">
        <v>535108980</v>
      </c>
      <c r="K52" s="50" t="n">
        <v>857805880</v>
      </c>
      <c r="L52" s="50" t="n">
        <v>1336449372</v>
      </c>
      <c r="M52" s="50" t="n">
        <v>853840512</v>
      </c>
      <c r="O52" s="50" t="n">
        <v>0</v>
      </c>
      <c r="P52" s="50" t="n">
        <v>1620916256</v>
      </c>
      <c r="Q52" s="50" t="n">
        <v>433036365</v>
      </c>
      <c r="R52" s="50" t="n">
        <v>393892150</v>
      </c>
      <c r="S52" s="50" t="n">
        <v>1152009132</v>
      </c>
      <c r="T52" s="50" t="n">
        <v>570614522</v>
      </c>
    </row>
    <row r="53">
      <c r="A53" s="49" t="n">
        <v>46092</v>
      </c>
      <c r="B53" s="50" t="n">
        <v>5813195463</v>
      </c>
      <c r="C53" s="50" t="n">
        <v>586574899</v>
      </c>
      <c r="D53" s="50" t="n">
        <v>4162197198</v>
      </c>
      <c r="E53" s="50" t="n">
        <v>828235089</v>
      </c>
      <c r="F53" s="50" t="n">
        <v>236188277</v>
      </c>
      <c r="H53" s="50" t="n">
        <v>237182307</v>
      </c>
      <c r="I53" s="50" t="n">
        <v>1999823049</v>
      </c>
      <c r="J53" s="50" t="n">
        <v>536291280</v>
      </c>
      <c r="K53" s="50" t="n">
        <v>849722225</v>
      </c>
      <c r="L53" s="50" t="n">
        <v>1340118900</v>
      </c>
      <c r="M53" s="50" t="n">
        <v>850057701</v>
      </c>
      <c r="O53" s="50" t="n">
        <v>0</v>
      </c>
      <c r="P53" s="50" t="n">
        <v>1612752837</v>
      </c>
      <c r="Q53" s="50" t="n">
        <v>433993140</v>
      </c>
      <c r="R53" s="50" t="n">
        <v>393957695</v>
      </c>
      <c r="S53" s="50" t="n">
        <v>1155747585</v>
      </c>
      <c r="T53" s="50" t="n">
        <v>565745941</v>
      </c>
    </row>
    <row r="54">
      <c r="A54" s="49" t="n">
        <v>46091</v>
      </c>
      <c r="B54" s="50" t="n">
        <v>5760250710</v>
      </c>
      <c r="C54" s="50" t="n">
        <v>587190206</v>
      </c>
      <c r="D54" s="50" t="n">
        <v>4108627068</v>
      </c>
      <c r="E54" s="50" t="n">
        <v>827496352</v>
      </c>
      <c r="F54" s="50" t="n">
        <v>236937084</v>
      </c>
      <c r="H54" s="50" t="n">
        <v>236154175</v>
      </c>
      <c r="I54" s="50" t="n">
        <v>1997299321</v>
      </c>
      <c r="J54" s="50" t="n">
        <v>534872520</v>
      </c>
      <c r="K54" s="50" t="n">
        <v>802361260</v>
      </c>
      <c r="L54" s="50" t="n">
        <v>1335545535</v>
      </c>
      <c r="M54" s="50" t="n">
        <v>854017898</v>
      </c>
      <c r="O54" s="50" t="n">
        <v>0</v>
      </c>
      <c r="P54" s="50" t="n">
        <v>1610180814</v>
      </c>
      <c r="Q54" s="50" t="n">
        <v>432845010</v>
      </c>
      <c r="R54" s="50" t="n">
        <v>346967875</v>
      </c>
      <c r="S54" s="50" t="n">
        <v>1151199885</v>
      </c>
      <c r="T54" s="50" t="n">
        <v>567433483</v>
      </c>
    </row>
    <row r="55">
      <c r="A55" s="49" t="n">
        <v>46090</v>
      </c>
      <c r="B55" s="50" t="n">
        <v>5711099628</v>
      </c>
      <c r="C55" s="50" t="n">
        <v>582483502</v>
      </c>
      <c r="D55" s="50" t="n">
        <v>4078932672</v>
      </c>
      <c r="E55" s="50" t="n">
        <v>813865439</v>
      </c>
      <c r="F55" s="50" t="n">
        <v>235818015</v>
      </c>
      <c r="H55" s="50" t="n">
        <v>231677640</v>
      </c>
      <c r="I55" s="50" t="n">
        <v>1991482667</v>
      </c>
      <c r="J55" s="50" t="n">
        <v>533847860</v>
      </c>
      <c r="K55" s="50" t="n">
        <v>774618470</v>
      </c>
      <c r="L55" s="50" t="n">
        <v>1325950803</v>
      </c>
      <c r="M55" s="50" t="n">
        <v>853522188</v>
      </c>
      <c r="O55" s="50" t="n">
        <v>0</v>
      </c>
      <c r="P55" s="50" t="n">
        <v>1604176286</v>
      </c>
      <c r="Q55" s="50" t="n">
        <v>432015805</v>
      </c>
      <c r="R55" s="50" t="n">
        <v>333400915</v>
      </c>
      <c r="S55" s="50" t="n">
        <v>1143392778</v>
      </c>
      <c r="T55" s="50" t="n">
        <v>565946888</v>
      </c>
    </row>
    <row r="56">
      <c r="A56" s="49" t="n">
        <v>46089</v>
      </c>
      <c r="B56" s="50" t="n">
        <v>5764777176</v>
      </c>
      <c r="C56" s="50" t="n">
        <v>580438610</v>
      </c>
      <c r="D56" s="50" t="n">
        <v>4119938019</v>
      </c>
      <c r="E56" s="50" t="n">
        <v>827119503</v>
      </c>
      <c r="F56" s="50" t="n">
        <v>237281043</v>
      </c>
      <c r="H56" s="50" t="n">
        <v>225737603</v>
      </c>
      <c r="I56" s="50" t="n">
        <v>2002711219</v>
      </c>
      <c r="J56" s="50" t="n">
        <v>533296120</v>
      </c>
      <c r="K56" s="50" t="n">
        <v>807433475</v>
      </c>
      <c r="L56" s="50" t="n">
        <v>1336803277</v>
      </c>
      <c r="M56" s="50" t="n">
        <v>858795482</v>
      </c>
      <c r="O56" s="50" t="n">
        <v>0</v>
      </c>
      <c r="P56" s="50" t="n">
        <v>1614738780</v>
      </c>
      <c r="Q56" s="50" t="n">
        <v>431569310</v>
      </c>
      <c r="R56" s="50" t="n">
        <v>351380280</v>
      </c>
      <c r="S56" s="50" t="n">
        <v>1150570582</v>
      </c>
      <c r="T56" s="50" t="n">
        <v>571679067</v>
      </c>
    </row>
    <row r="57">
      <c r="A57" s="49" t="n">
        <v>46088</v>
      </c>
      <c r="B57" s="50" t="n">
        <v>5768358932</v>
      </c>
      <c r="C57" s="50" t="n">
        <v>583229624</v>
      </c>
      <c r="D57" s="50" t="n">
        <v>4119938019</v>
      </c>
      <c r="E57" s="50" t="n">
        <v>827559227</v>
      </c>
      <c r="F57" s="50" t="n">
        <v>237632062</v>
      </c>
      <c r="H57" s="50" t="n">
        <v>229319414</v>
      </c>
      <c r="I57" s="50" t="n">
        <v>2002711164</v>
      </c>
      <c r="J57" s="50" t="n">
        <v>533296120</v>
      </c>
      <c r="K57" s="50" t="n">
        <v>807433475</v>
      </c>
      <c r="L57" s="50" t="n">
        <v>1336803277</v>
      </c>
      <c r="M57" s="50" t="n">
        <v>858795482</v>
      </c>
      <c r="O57" s="50" t="n">
        <v>0</v>
      </c>
      <c r="P57" s="50" t="n">
        <v>1614738780</v>
      </c>
      <c r="Q57" s="50" t="n">
        <v>431569310</v>
      </c>
      <c r="R57" s="50" t="n">
        <v>351380280</v>
      </c>
      <c r="S57" s="50" t="n">
        <v>1150570582</v>
      </c>
      <c r="T57" s="50" t="n">
        <v>571679067</v>
      </c>
    </row>
    <row r="58">
      <c r="A58" s="49" t="n">
        <v>46087</v>
      </c>
      <c r="B58" s="50" t="n">
        <v>5771499399</v>
      </c>
      <c r="C58" s="50" t="n">
        <v>585724895</v>
      </c>
      <c r="D58" s="50" t="n">
        <v>4119938019</v>
      </c>
      <c r="E58" s="50" t="n">
        <v>827911838</v>
      </c>
      <c r="F58" s="50" t="n">
        <v>237924647</v>
      </c>
      <c r="H58" s="50" t="n">
        <v>232459859</v>
      </c>
      <c r="I58" s="50" t="n">
        <v>2002711186</v>
      </c>
      <c r="J58" s="50" t="n">
        <v>533296120</v>
      </c>
      <c r="K58" s="50" t="n">
        <v>807433475</v>
      </c>
      <c r="L58" s="50" t="n">
        <v>1336803277</v>
      </c>
      <c r="M58" s="50" t="n">
        <v>858795482</v>
      </c>
      <c r="O58" s="50" t="n">
        <v>0</v>
      </c>
      <c r="P58" s="50" t="n">
        <v>1614738780</v>
      </c>
      <c r="Q58" s="50" t="n">
        <v>431569310</v>
      </c>
      <c r="R58" s="50" t="n">
        <v>351380280</v>
      </c>
      <c r="S58" s="50" t="n">
        <v>1150570582</v>
      </c>
      <c r="T58" s="50" t="n">
        <v>571679067</v>
      </c>
    </row>
    <row r="59">
      <c r="A59" s="49" t="n">
        <v>46086</v>
      </c>
      <c r="B59" s="50" t="n">
        <v>5781633718</v>
      </c>
      <c r="C59" s="50" t="n">
        <v>588605618</v>
      </c>
      <c r="D59" s="50" t="n">
        <v>4125860155</v>
      </c>
      <c r="E59" s="50" t="n">
        <v>830541199</v>
      </c>
      <c r="F59" s="50" t="n">
        <v>236626745</v>
      </c>
      <c r="H59" s="50" t="n">
        <v>240034807</v>
      </c>
      <c r="I59" s="50" t="n">
        <v>2002666365</v>
      </c>
      <c r="J59" s="50" t="n">
        <v>534872520</v>
      </c>
      <c r="K59" s="50" t="n">
        <v>799248285</v>
      </c>
      <c r="L59" s="50" t="n">
        <v>1347671646</v>
      </c>
      <c r="M59" s="50" t="n">
        <v>857140095</v>
      </c>
      <c r="O59" s="50" t="n">
        <v>0</v>
      </c>
      <c r="P59" s="50" t="n">
        <v>1614101300</v>
      </c>
      <c r="Q59" s="50" t="n">
        <v>432845010</v>
      </c>
      <c r="R59" s="50" t="n">
        <v>344120685</v>
      </c>
      <c r="S59" s="50" t="n">
        <v>1163113266</v>
      </c>
      <c r="T59" s="50" t="n">
        <v>571679895</v>
      </c>
    </row>
    <row r="60">
      <c r="A60" s="49" t="n">
        <v>46085</v>
      </c>
      <c r="B60" s="50" t="n">
        <v>5689223949</v>
      </c>
      <c r="C60" s="50" t="n">
        <v>586196637</v>
      </c>
      <c r="D60" s="50" t="n">
        <v>4063936939</v>
      </c>
      <c r="E60" s="50" t="n">
        <v>805079523</v>
      </c>
      <c r="F60" s="50" t="n">
        <v>234010849</v>
      </c>
      <c r="H60" s="50" t="n">
        <v>243392145</v>
      </c>
      <c r="I60" s="50" t="n">
        <v>1992248537</v>
      </c>
      <c r="J60" s="50" t="n">
        <v>535424260</v>
      </c>
      <c r="K60" s="50" t="n">
        <v>728963250</v>
      </c>
      <c r="L60" s="50" t="n">
        <v>1335935918</v>
      </c>
      <c r="M60" s="50" t="n">
        <v>853259839</v>
      </c>
      <c r="O60" s="50" t="n">
        <v>0</v>
      </c>
      <c r="P60" s="50" t="n">
        <v>1604082352</v>
      </c>
      <c r="Q60" s="50" t="n">
        <v>433291505</v>
      </c>
      <c r="R60" s="50" t="n">
        <v>307396620</v>
      </c>
      <c r="S60" s="50" t="n">
        <v>1153730588</v>
      </c>
      <c r="T60" s="50" t="n">
        <v>565435874</v>
      </c>
    </row>
    <row r="61">
      <c r="A61" s="49" t="n">
        <v>46084</v>
      </c>
      <c r="B61" s="50" t="n">
        <v>5802642796</v>
      </c>
      <c r="C61" s="50" t="n">
        <v>585092290</v>
      </c>
      <c r="D61" s="50" t="n">
        <v>4145917821</v>
      </c>
      <c r="E61" s="50" t="n">
        <v>835542102</v>
      </c>
      <c r="F61" s="50" t="n">
        <v>236090583</v>
      </c>
      <c r="H61" s="50" t="n">
        <v>231537328</v>
      </c>
      <c r="I61" s="50" t="n">
        <v>2002930740</v>
      </c>
      <c r="J61" s="50" t="n">
        <v>551267080</v>
      </c>
      <c r="K61" s="50" t="n">
        <v>816757090</v>
      </c>
      <c r="L61" s="50" t="n">
        <v>1340304073</v>
      </c>
      <c r="M61" s="50" t="n">
        <v>859846485</v>
      </c>
      <c r="O61" s="50" t="n">
        <v>0</v>
      </c>
      <c r="P61" s="50" t="n">
        <v>1613699073</v>
      </c>
      <c r="Q61" s="50" t="n">
        <v>446112290</v>
      </c>
      <c r="R61" s="50" t="n">
        <v>354647465</v>
      </c>
      <c r="S61" s="50" t="n">
        <v>1157668258</v>
      </c>
      <c r="T61" s="50" t="n">
        <v>573790735</v>
      </c>
    </row>
    <row r="62">
      <c r="A62" s="49" t="n">
        <v>46083</v>
      </c>
      <c r="B62" s="50" t="n">
        <v>5784108260</v>
      </c>
      <c r="C62" s="50" t="n">
        <v>582842823</v>
      </c>
      <c r="D62" s="50" t="n">
        <v>4118744358</v>
      </c>
      <c r="E62" s="50" t="n">
        <v>847876843</v>
      </c>
      <c r="F62" s="50" t="n">
        <v>234644236</v>
      </c>
      <c r="H62" s="50" t="n">
        <v>232254247</v>
      </c>
      <c r="I62" s="50" t="n">
        <v>1986494994</v>
      </c>
      <c r="J62" s="50" t="n">
        <v>528566920</v>
      </c>
      <c r="K62" s="50" t="n">
        <v>861276980</v>
      </c>
      <c r="L62" s="50" t="n">
        <v>1328518000</v>
      </c>
      <c r="M62" s="50" t="n">
        <v>846997120</v>
      </c>
      <c r="O62" s="50" t="n">
        <v>0</v>
      </c>
      <c r="P62" s="50" t="n">
        <v>1598936063</v>
      </c>
      <c r="Q62" s="50" t="n">
        <v>427742210</v>
      </c>
      <c r="R62" s="50" t="n">
        <v>380533545</v>
      </c>
      <c r="S62" s="50" t="n">
        <v>1147699180</v>
      </c>
      <c r="T62" s="50" t="n">
        <v>563833360</v>
      </c>
    </row>
    <row r="63">
      <c r="A63" s="49" t="n">
        <v>46082</v>
      </c>
      <c r="B63" s="50" t="n">
        <v>5751493304</v>
      </c>
      <c r="C63" s="50" t="n">
        <v>574599081</v>
      </c>
      <c r="D63" s="50" t="n">
        <v>4096791004</v>
      </c>
      <c r="E63" s="50" t="n">
        <v>846524062</v>
      </c>
      <c r="F63" s="50" t="n">
        <v>233579157</v>
      </c>
      <c r="H63" s="50" t="n">
        <v>221592677</v>
      </c>
      <c r="I63" s="50" t="n">
        <v>1979038357</v>
      </c>
      <c r="J63" s="50" t="n">
        <v>528566920</v>
      </c>
      <c r="K63" s="50" t="n">
        <v>861276980</v>
      </c>
      <c r="L63" s="50" t="n">
        <v>1315598428</v>
      </c>
      <c r="M63" s="50" t="n">
        <v>845419943</v>
      </c>
      <c r="O63" s="50" t="n">
        <v>0</v>
      </c>
      <c r="P63" s="50" t="n">
        <v>1591479458</v>
      </c>
      <c r="Q63" s="50" t="n">
        <v>427742210</v>
      </c>
      <c r="R63" s="50" t="n">
        <v>380533545</v>
      </c>
      <c r="S63" s="50" t="n">
        <v>1134779608</v>
      </c>
      <c r="T63" s="50" t="n">
        <v>562256183</v>
      </c>
    </row>
    <row r="64">
      <c r="A64" s="49" t="n">
        <v>46081</v>
      </c>
      <c r="B64" s="50" t="n">
        <v>5755407718</v>
      </c>
      <c r="C64" s="50" t="n">
        <v>577667707</v>
      </c>
      <c r="D64" s="50" t="n">
        <v>4096791004</v>
      </c>
      <c r="E64" s="50" t="n">
        <v>846992035</v>
      </c>
      <c r="F64" s="50" t="n">
        <v>233956971</v>
      </c>
      <c r="H64" s="50" t="n">
        <v>225507102</v>
      </c>
      <c r="I64" s="50" t="n">
        <v>1979038346</v>
      </c>
      <c r="J64" s="50" t="n">
        <v>528566920</v>
      </c>
      <c r="K64" s="50" t="n">
        <v>861276980</v>
      </c>
      <c r="L64" s="50" t="n">
        <v>1315598428</v>
      </c>
      <c r="M64" s="50" t="n">
        <v>845419943</v>
      </c>
      <c r="O64" s="50" t="n">
        <v>0</v>
      </c>
      <c r="P64" s="50" t="n">
        <v>1591479458</v>
      </c>
      <c r="Q64" s="50" t="n">
        <v>427742210</v>
      </c>
      <c r="R64" s="50" t="n">
        <v>380533545</v>
      </c>
      <c r="S64" s="50" t="n">
        <v>1134779608</v>
      </c>
      <c r="T64" s="50" t="n">
        <v>562256183</v>
      </c>
    </row>
    <row r="65">
      <c r="A65" s="49" t="n">
        <v>46080</v>
      </c>
      <c r="B65" s="50" t="n">
        <v>5751912876</v>
      </c>
      <c r="C65" s="50" t="n">
        <v>574974935</v>
      </c>
      <c r="D65" s="50" t="n">
        <v>4096791004</v>
      </c>
      <c r="E65" s="50" t="n">
        <v>846542095</v>
      </c>
      <c r="F65" s="50" t="n">
        <v>233604842</v>
      </c>
      <c r="H65" s="50" t="n">
        <v>222012237</v>
      </c>
      <c r="I65" s="50" t="n">
        <v>1979038367</v>
      </c>
      <c r="J65" s="50" t="n">
        <v>528566920</v>
      </c>
      <c r="K65" s="50" t="n">
        <v>861276980</v>
      </c>
      <c r="L65" s="50" t="n">
        <v>1315598428</v>
      </c>
      <c r="M65" s="50" t="n">
        <v>845419943</v>
      </c>
      <c r="O65" s="50" t="n">
        <v>0</v>
      </c>
      <c r="P65" s="50" t="n">
        <v>1591479458</v>
      </c>
      <c r="Q65" s="50" t="n">
        <v>427742210</v>
      </c>
      <c r="R65" s="50" t="n">
        <v>380533545</v>
      </c>
      <c r="S65" s="50" t="n">
        <v>1134779608</v>
      </c>
      <c r="T65" s="50" t="n">
        <v>562256183</v>
      </c>
    </row>
    <row r="66">
      <c r="A66" s="49" t="n">
        <v>46079</v>
      </c>
      <c r="B66" s="50" t="n">
        <v>5731922760</v>
      </c>
      <c r="C66" s="50" t="n">
        <v>575671416</v>
      </c>
      <c r="D66" s="50" t="n">
        <v>4079437486</v>
      </c>
      <c r="E66" s="50" t="n">
        <v>843741704</v>
      </c>
      <c r="F66" s="50" t="n">
        <v>233072154</v>
      </c>
      <c r="H66" s="50" t="n">
        <v>225482173</v>
      </c>
      <c r="I66" s="50" t="n">
        <v>1974146095</v>
      </c>
      <c r="J66" s="50" t="n">
        <v>524783560</v>
      </c>
      <c r="K66" s="50" t="n">
        <v>860890045</v>
      </c>
      <c r="L66" s="50" t="n">
        <v>1309461031</v>
      </c>
      <c r="M66" s="50" t="n">
        <v>837159855</v>
      </c>
      <c r="O66" s="50" t="n">
        <v>0</v>
      </c>
      <c r="P66" s="50" t="n">
        <v>1587270855</v>
      </c>
      <c r="Q66" s="50" t="n">
        <v>424680530</v>
      </c>
      <c r="R66" s="50" t="n">
        <v>381958430</v>
      </c>
      <c r="S66" s="50" t="n">
        <v>1128092926</v>
      </c>
      <c r="T66" s="50" t="n">
        <v>557434745</v>
      </c>
    </row>
    <row r="67">
      <c r="A67" s="49" t="n">
        <v>46078</v>
      </c>
      <c r="B67" s="50" t="n">
        <v>5722029481</v>
      </c>
      <c r="C67" s="50" t="n">
        <v>574941109</v>
      </c>
      <c r="D67" s="50" t="n">
        <v>4063017727</v>
      </c>
      <c r="E67" s="50" t="n">
        <v>851935639</v>
      </c>
      <c r="F67" s="50" t="n">
        <v>232135006</v>
      </c>
      <c r="H67" s="50" t="n">
        <v>226616792</v>
      </c>
      <c r="I67" s="50" t="n">
        <v>1971021794</v>
      </c>
      <c r="J67" s="50" t="n">
        <v>527778720</v>
      </c>
      <c r="K67" s="50" t="n">
        <v>849614670</v>
      </c>
      <c r="L67" s="50" t="n">
        <v>1312546690</v>
      </c>
      <c r="M67" s="50" t="n">
        <v>834450815</v>
      </c>
      <c r="O67" s="50" t="n">
        <v>0</v>
      </c>
      <c r="P67" s="50" t="n">
        <v>1583778442</v>
      </c>
      <c r="Q67" s="50" t="n">
        <v>427104360</v>
      </c>
      <c r="R67" s="50" t="n">
        <v>365673010</v>
      </c>
      <c r="S67" s="50" t="n">
        <v>1132604650</v>
      </c>
      <c r="T67" s="50" t="n">
        <v>553857265</v>
      </c>
    </row>
    <row r="68">
      <c r="A68" s="49" t="n">
        <v>46077</v>
      </c>
      <c r="B68" s="50" t="n">
        <v>5738756363</v>
      </c>
      <c r="C68" s="50" t="n">
        <v>568724484</v>
      </c>
      <c r="D68" s="50" t="n">
        <v>4078511319</v>
      </c>
      <c r="E68" s="50" t="n">
        <v>859602362</v>
      </c>
      <c r="F68" s="50" t="n">
        <v>231918198</v>
      </c>
      <c r="H68" s="50" t="n">
        <v>216273767</v>
      </c>
      <c r="I68" s="50" t="n">
        <v>1978822319</v>
      </c>
      <c r="J68" s="50" t="n">
        <v>532507920</v>
      </c>
      <c r="K68" s="50" t="n">
        <v>853731790</v>
      </c>
      <c r="L68" s="50" t="n">
        <v>1315350883</v>
      </c>
      <c r="M68" s="50" t="n">
        <v>842069685</v>
      </c>
      <c r="O68" s="50" t="n">
        <v>0</v>
      </c>
      <c r="P68" s="50" t="n">
        <v>1591248126</v>
      </c>
      <c r="Q68" s="50" t="n">
        <v>430931460</v>
      </c>
      <c r="R68" s="50" t="n">
        <v>361663810</v>
      </c>
      <c r="S68" s="50" t="n">
        <v>1135247113</v>
      </c>
      <c r="T68" s="50" t="n">
        <v>559420810</v>
      </c>
    </row>
    <row r="69">
      <c r="A69" s="49" t="n">
        <v>46076</v>
      </c>
      <c r="B69" s="50" t="n">
        <v>5725586308</v>
      </c>
      <c r="C69" s="50" t="n">
        <v>570302008</v>
      </c>
      <c r="D69" s="50" t="n">
        <v>4063941656</v>
      </c>
      <c r="E69" s="50" t="n">
        <v>859754864</v>
      </c>
      <c r="F69" s="50" t="n">
        <v>231587781</v>
      </c>
      <c r="H69" s="50" t="n">
        <v>219741871</v>
      </c>
      <c r="I69" s="50" t="n">
        <v>1979777961</v>
      </c>
      <c r="J69" s="50" t="n">
        <v>529276300</v>
      </c>
      <c r="K69" s="50" t="n">
        <v>846638900</v>
      </c>
      <c r="L69" s="50" t="n">
        <v>1307972141</v>
      </c>
      <c r="M69" s="50" t="n">
        <v>842179135</v>
      </c>
      <c r="O69" s="50" t="n">
        <v>0</v>
      </c>
      <c r="P69" s="50" t="n">
        <v>1592154174</v>
      </c>
      <c r="Q69" s="50" t="n">
        <v>428316275</v>
      </c>
      <c r="R69" s="50" t="n">
        <v>355162355</v>
      </c>
      <c r="S69" s="50" t="n">
        <v>1128074816</v>
      </c>
      <c r="T69" s="50" t="n">
        <v>560234035</v>
      </c>
    </row>
    <row r="70">
      <c r="A70" s="49" t="n">
        <v>46075</v>
      </c>
      <c r="B70" s="50" t="n">
        <v>5737956778</v>
      </c>
      <c r="C70" s="50" t="n">
        <v>578042160</v>
      </c>
      <c r="D70" s="50" t="n">
        <v>4067331697</v>
      </c>
      <c r="E70" s="50" t="n">
        <v>858967829</v>
      </c>
      <c r="F70" s="50" t="n">
        <v>233615093</v>
      </c>
      <c r="H70" s="50" t="n">
        <v>229675411</v>
      </c>
      <c r="I70" s="50" t="n">
        <v>1979987279</v>
      </c>
      <c r="J70" s="50" t="n">
        <v>518083860</v>
      </c>
      <c r="K70" s="50" t="n">
        <v>845286755</v>
      </c>
      <c r="L70" s="50" t="n">
        <v>1321139270</v>
      </c>
      <c r="M70" s="50" t="n">
        <v>843784202</v>
      </c>
      <c r="O70" s="50" t="n">
        <v>0</v>
      </c>
      <c r="P70" s="50" t="n">
        <v>1593027255</v>
      </c>
      <c r="Q70" s="50" t="n">
        <v>419258805</v>
      </c>
      <c r="R70" s="50" t="n">
        <v>355576270</v>
      </c>
      <c r="S70" s="50" t="n">
        <v>1139731145</v>
      </c>
      <c r="T70" s="50" t="n">
        <v>559738222</v>
      </c>
    </row>
    <row r="71">
      <c r="A71" s="49" t="n">
        <v>46074</v>
      </c>
      <c r="B71" s="50" t="n">
        <v>5738936598</v>
      </c>
      <c r="C71" s="50" t="n">
        <v>578775336</v>
      </c>
      <c r="D71" s="50" t="n">
        <v>4067331697</v>
      </c>
      <c r="E71" s="50" t="n">
        <v>859108877</v>
      </c>
      <c r="F71" s="50" t="n">
        <v>233720687</v>
      </c>
      <c r="H71" s="50" t="n">
        <v>230655253</v>
      </c>
      <c r="I71" s="50" t="n">
        <v>1979987257</v>
      </c>
      <c r="J71" s="50" t="n">
        <v>518083860</v>
      </c>
      <c r="K71" s="50" t="n">
        <v>845286755</v>
      </c>
      <c r="L71" s="50" t="n">
        <v>1321139270</v>
      </c>
      <c r="M71" s="50" t="n">
        <v>843784202</v>
      </c>
      <c r="O71" s="50" t="n">
        <v>0</v>
      </c>
      <c r="P71" s="50" t="n">
        <v>1593027255</v>
      </c>
      <c r="Q71" s="50" t="n">
        <v>419258805</v>
      </c>
      <c r="R71" s="50" t="n">
        <v>355576270</v>
      </c>
      <c r="S71" s="50" t="n">
        <v>1139731145</v>
      </c>
      <c r="T71" s="50" t="n">
        <v>559738222</v>
      </c>
    </row>
    <row r="72">
      <c r="A72" s="49" t="n">
        <v>46073</v>
      </c>
      <c r="B72" s="50" t="n">
        <v>5739407923</v>
      </c>
      <c r="C72" s="50" t="n">
        <v>579162882</v>
      </c>
      <c r="D72" s="50" t="n">
        <v>4067331697</v>
      </c>
      <c r="E72" s="50" t="n">
        <v>859152864</v>
      </c>
      <c r="F72" s="50" t="n">
        <v>233760479</v>
      </c>
      <c r="H72" s="50" t="n">
        <v>231126545</v>
      </c>
      <c r="I72" s="50" t="n">
        <v>1979987290</v>
      </c>
      <c r="J72" s="50" t="n">
        <v>518083860</v>
      </c>
      <c r="K72" s="50" t="n">
        <v>845286755</v>
      </c>
      <c r="L72" s="50" t="n">
        <v>1321139270</v>
      </c>
      <c r="M72" s="50" t="n">
        <v>843784202</v>
      </c>
      <c r="O72" s="50" t="n">
        <v>0</v>
      </c>
      <c r="P72" s="50" t="n">
        <v>1593027255</v>
      </c>
      <c r="Q72" s="50" t="n">
        <v>419258805</v>
      </c>
      <c r="R72" s="50" t="n">
        <v>355576270</v>
      </c>
      <c r="S72" s="50" t="n">
        <v>1139731145</v>
      </c>
      <c r="T72" s="50" t="n">
        <v>559738222</v>
      </c>
    </row>
    <row r="73">
      <c r="A73" s="49" t="n">
        <v>46072</v>
      </c>
      <c r="B73" s="50" t="n">
        <v>5723322855</v>
      </c>
      <c r="C73" s="50" t="n">
        <v>576010712</v>
      </c>
      <c r="D73" s="50" t="n">
        <v>4058738615</v>
      </c>
      <c r="E73" s="50" t="n">
        <v>855250193</v>
      </c>
      <c r="F73" s="50" t="n">
        <v>233323335</v>
      </c>
      <c r="H73" s="50" t="n">
        <v>227963027</v>
      </c>
      <c r="I73" s="50" t="n">
        <v>1980347674</v>
      </c>
      <c r="J73" s="50" t="n">
        <v>514458140</v>
      </c>
      <c r="K73" s="50" t="n">
        <v>838990195</v>
      </c>
      <c r="L73" s="50" t="n">
        <v>1316995812</v>
      </c>
      <c r="M73" s="50" t="n">
        <v>844568007</v>
      </c>
      <c r="O73" s="50" t="n">
        <v>0</v>
      </c>
      <c r="P73" s="50" t="n">
        <v>1593502662</v>
      </c>
      <c r="Q73" s="50" t="n">
        <v>416324695</v>
      </c>
      <c r="R73" s="50" t="n">
        <v>351978285</v>
      </c>
      <c r="S73" s="50" t="n">
        <v>1135321842</v>
      </c>
      <c r="T73" s="50" t="n">
        <v>561611132</v>
      </c>
    </row>
    <row r="74">
      <c r="A74" s="49" t="n">
        <v>46071</v>
      </c>
      <c r="B74" s="50" t="n">
        <v>5674939992</v>
      </c>
      <c r="C74" s="50" t="n">
        <v>571130392</v>
      </c>
      <c r="D74" s="50" t="n">
        <v>4028196254</v>
      </c>
      <c r="E74" s="50" t="n">
        <v>845105512</v>
      </c>
      <c r="F74" s="50" t="n">
        <v>230507834</v>
      </c>
      <c r="H74" s="50" t="n">
        <v>227787603</v>
      </c>
      <c r="I74" s="50" t="n">
        <v>1974551265</v>
      </c>
      <c r="J74" s="50" t="n">
        <v>511068880</v>
      </c>
      <c r="K74" s="50" t="n">
        <v>809661690</v>
      </c>
      <c r="L74" s="50" t="n">
        <v>1311601843</v>
      </c>
      <c r="M74" s="50" t="n">
        <v>840268711</v>
      </c>
      <c r="O74" s="50" t="n">
        <v>0</v>
      </c>
      <c r="P74" s="50" t="n">
        <v>1588367029</v>
      </c>
      <c r="Q74" s="50" t="n">
        <v>413581940</v>
      </c>
      <c r="R74" s="50" t="n">
        <v>335575690</v>
      </c>
      <c r="S74" s="50" t="n">
        <v>1132312873</v>
      </c>
      <c r="T74" s="50" t="n">
        <v>558358721</v>
      </c>
    </row>
    <row r="75">
      <c r="A75" s="49" t="n">
        <v>46070</v>
      </c>
      <c r="B75" s="50" t="n">
        <v>5674128070</v>
      </c>
      <c r="C75" s="50" t="n">
        <v>573472291</v>
      </c>
      <c r="D75" s="50" t="n">
        <v>4024321336</v>
      </c>
      <c r="E75" s="50" t="n">
        <v>845512268</v>
      </c>
      <c r="F75" s="50" t="n">
        <v>230822175</v>
      </c>
      <c r="H75" s="50" t="n">
        <v>230850632</v>
      </c>
      <c r="I75" s="50" t="n">
        <v>1974382117</v>
      </c>
      <c r="J75" s="50" t="n">
        <v>511068880</v>
      </c>
      <c r="K75" s="50" t="n">
        <v>809661690</v>
      </c>
      <c r="L75" s="50" t="n">
        <v>1306116667</v>
      </c>
      <c r="M75" s="50" t="n">
        <v>842048084</v>
      </c>
      <c r="O75" s="50" t="n">
        <v>0</v>
      </c>
      <c r="P75" s="50" t="n">
        <v>1588197914</v>
      </c>
      <c r="Q75" s="50" t="n">
        <v>413581940</v>
      </c>
      <c r="R75" s="50" t="n">
        <v>335575690</v>
      </c>
      <c r="S75" s="50" t="n">
        <v>1126827697</v>
      </c>
      <c r="T75" s="50" t="n">
        <v>560138094</v>
      </c>
    </row>
    <row r="76">
      <c r="A76" s="49" t="n">
        <v>46069</v>
      </c>
      <c r="B76" s="50" t="n">
        <v>5684725124</v>
      </c>
      <c r="C76" s="50" t="n">
        <v>577114715</v>
      </c>
      <c r="D76" s="50" t="n">
        <v>4030389797</v>
      </c>
      <c r="E76" s="50" t="n">
        <v>845990475</v>
      </c>
      <c r="F76" s="50" t="n">
        <v>231230136</v>
      </c>
      <c r="H76" s="50" t="n">
        <v>235379224</v>
      </c>
      <c r="I76" s="50" t="n">
        <v>1977859329</v>
      </c>
      <c r="J76" s="50" t="n">
        <v>511068880</v>
      </c>
      <c r="K76" s="50" t="n">
        <v>809661690</v>
      </c>
      <c r="L76" s="50" t="n">
        <v>1308980916</v>
      </c>
      <c r="M76" s="50" t="n">
        <v>841775085</v>
      </c>
      <c r="O76" s="50" t="n">
        <v>0</v>
      </c>
      <c r="P76" s="50" t="n">
        <v>1591675126</v>
      </c>
      <c r="Q76" s="50" t="n">
        <v>413581940</v>
      </c>
      <c r="R76" s="50" t="n">
        <v>335575690</v>
      </c>
      <c r="S76" s="50" t="n">
        <v>1129691946</v>
      </c>
      <c r="T76" s="50" t="n">
        <v>559865095</v>
      </c>
    </row>
    <row r="77">
      <c r="A77" s="49" t="n">
        <v>46068</v>
      </c>
      <c r="B77" s="50" t="n">
        <v>5678094373</v>
      </c>
      <c r="C77" s="50" t="n">
        <v>577107244</v>
      </c>
      <c r="D77" s="50" t="n">
        <v>4023936982</v>
      </c>
      <c r="E77" s="50" t="n">
        <v>845878842</v>
      </c>
      <c r="F77" s="50" t="n">
        <v>231171304</v>
      </c>
      <c r="H77" s="50" t="n">
        <v>235201266</v>
      </c>
      <c r="I77" s="50" t="n">
        <v>1975828297</v>
      </c>
      <c r="J77" s="50" t="n">
        <v>511068880</v>
      </c>
      <c r="K77" s="50" t="n">
        <v>809661690</v>
      </c>
      <c r="L77" s="50" t="n">
        <v>1306024386</v>
      </c>
      <c r="M77" s="50" t="n">
        <v>840309855</v>
      </c>
      <c r="O77" s="50" t="n">
        <v>0</v>
      </c>
      <c r="P77" s="50" t="n">
        <v>1589644072</v>
      </c>
      <c r="Q77" s="50" t="n">
        <v>413581940</v>
      </c>
      <c r="R77" s="50" t="n">
        <v>335575690</v>
      </c>
      <c r="S77" s="50" t="n">
        <v>1126735416</v>
      </c>
      <c r="T77" s="50" t="n">
        <v>558399865</v>
      </c>
    </row>
    <row r="78">
      <c r="A78" s="49" t="n">
        <v>46067</v>
      </c>
      <c r="B78" s="50" t="n">
        <v>5680343047</v>
      </c>
      <c r="C78" s="50" t="n">
        <v>578454701</v>
      </c>
      <c r="D78" s="50" t="n">
        <v>4023936982</v>
      </c>
      <c r="E78" s="50" t="n">
        <v>846431959</v>
      </c>
      <c r="F78" s="50" t="n">
        <v>231519405</v>
      </c>
      <c r="H78" s="50" t="n">
        <v>237450059</v>
      </c>
      <c r="I78" s="50" t="n">
        <v>1975828177</v>
      </c>
      <c r="J78" s="50" t="n">
        <v>511068880</v>
      </c>
      <c r="K78" s="50" t="n">
        <v>809661690</v>
      </c>
      <c r="L78" s="50" t="n">
        <v>1306024386</v>
      </c>
      <c r="M78" s="50" t="n">
        <v>840309855</v>
      </c>
      <c r="O78" s="50" t="n">
        <v>0</v>
      </c>
      <c r="P78" s="50" t="n">
        <v>1589644072</v>
      </c>
      <c r="Q78" s="50" t="n">
        <v>413581940</v>
      </c>
      <c r="R78" s="50" t="n">
        <v>335575690</v>
      </c>
      <c r="S78" s="50" t="n">
        <v>1126735416</v>
      </c>
      <c r="T78" s="50" t="n">
        <v>558399865</v>
      </c>
    </row>
    <row r="79">
      <c r="A79" s="49" t="n">
        <v>46066</v>
      </c>
      <c r="B79" s="50" t="n">
        <v>5675770265</v>
      </c>
      <c r="C79" s="50" t="n">
        <v>574966328</v>
      </c>
      <c r="D79" s="50" t="n">
        <v>4023936982</v>
      </c>
      <c r="E79" s="50" t="n">
        <v>845819313</v>
      </c>
      <c r="F79" s="50" t="n">
        <v>231047641</v>
      </c>
      <c r="H79" s="50" t="n">
        <v>232877376</v>
      </c>
      <c r="I79" s="50" t="n">
        <v>1975828079</v>
      </c>
      <c r="J79" s="50" t="n">
        <v>511068880</v>
      </c>
      <c r="K79" s="50" t="n">
        <v>809661690</v>
      </c>
      <c r="L79" s="50" t="n">
        <v>1306024386</v>
      </c>
      <c r="M79" s="50" t="n">
        <v>840309855</v>
      </c>
      <c r="O79" s="50" t="n">
        <v>0</v>
      </c>
      <c r="P79" s="50" t="n">
        <v>1589644072</v>
      </c>
      <c r="Q79" s="50" t="n">
        <v>413581940</v>
      </c>
      <c r="R79" s="50" t="n">
        <v>335575690</v>
      </c>
      <c r="S79" s="50" t="n">
        <v>1126735416</v>
      </c>
      <c r="T79" s="50" t="n">
        <v>558399865</v>
      </c>
    </row>
    <row r="80">
      <c r="A80" s="49" t="n">
        <v>46065</v>
      </c>
      <c r="B80" s="50" t="n">
        <v>5680086192</v>
      </c>
      <c r="C80" s="50" t="n">
        <v>571310952</v>
      </c>
      <c r="D80" s="50" t="n">
        <v>4029537194</v>
      </c>
      <c r="E80" s="50" t="n">
        <v>847244340</v>
      </c>
      <c r="F80" s="50" t="n">
        <v>231993706</v>
      </c>
      <c r="H80" s="50" t="n">
        <v>224560607</v>
      </c>
      <c r="I80" s="50" t="n">
        <v>1977526040</v>
      </c>
      <c r="J80" s="50" t="n">
        <v>521000200</v>
      </c>
      <c r="K80" s="50" t="n">
        <v>816371605</v>
      </c>
      <c r="L80" s="50" t="n">
        <v>1304731345</v>
      </c>
      <c r="M80" s="50" t="n">
        <v>835896395</v>
      </c>
      <c r="O80" s="50" t="n">
        <v>0</v>
      </c>
      <c r="P80" s="50" t="n">
        <v>1591069409</v>
      </c>
      <c r="Q80" s="50" t="n">
        <v>421618850</v>
      </c>
      <c r="R80" s="50" t="n">
        <v>338593590</v>
      </c>
      <c r="S80" s="50" t="n">
        <v>1121642290</v>
      </c>
      <c r="T80" s="50" t="n">
        <v>556613055</v>
      </c>
    </row>
    <row r="81">
      <c r="A81" s="49" t="n">
        <v>46064</v>
      </c>
      <c r="B81" s="50" t="n">
        <v>5712991987</v>
      </c>
      <c r="C81" s="50" t="n">
        <v>575779595</v>
      </c>
      <c r="D81" s="50" t="n">
        <v>4048290523</v>
      </c>
      <c r="E81" s="50" t="n">
        <v>855394484</v>
      </c>
      <c r="F81" s="50" t="n">
        <v>233527385</v>
      </c>
      <c r="H81" s="50" t="n">
        <v>228597579</v>
      </c>
      <c r="I81" s="50" t="n">
        <v>1980970194</v>
      </c>
      <c r="J81" s="50" t="n">
        <v>523601260</v>
      </c>
      <c r="K81" s="50" t="n">
        <v>813156460</v>
      </c>
      <c r="L81" s="50" t="n">
        <v>1329340323</v>
      </c>
      <c r="M81" s="50" t="n">
        <v>837326171</v>
      </c>
      <c r="O81" s="50" t="n">
        <v>0</v>
      </c>
      <c r="P81" s="50" t="n">
        <v>1593682399</v>
      </c>
      <c r="Q81" s="50" t="n">
        <v>423723755</v>
      </c>
      <c r="R81" s="50" t="n">
        <v>330413365</v>
      </c>
      <c r="S81" s="50" t="n">
        <v>1145362383</v>
      </c>
      <c r="T81" s="50" t="n">
        <v>555108621</v>
      </c>
    </row>
    <row r="82">
      <c r="A82" s="49" t="n">
        <v>46063</v>
      </c>
      <c r="B82" s="50" t="n">
        <v>5720949358</v>
      </c>
      <c r="C82" s="50" t="n">
        <v>581353916</v>
      </c>
      <c r="D82" s="50" t="n">
        <v>4057911005</v>
      </c>
      <c r="E82" s="50" t="n">
        <v>846833591</v>
      </c>
      <c r="F82" s="50" t="n">
        <v>234850845</v>
      </c>
      <c r="H82" s="50" t="n">
        <v>235603868</v>
      </c>
      <c r="I82" s="50" t="n">
        <v>1983505975</v>
      </c>
      <c r="J82" s="50" t="n">
        <v>524310640</v>
      </c>
      <c r="K82" s="50" t="n">
        <v>802071230</v>
      </c>
      <c r="L82" s="50" t="n">
        <v>1332815131</v>
      </c>
      <c r="M82" s="50" t="n">
        <v>842642513</v>
      </c>
      <c r="O82" s="50" t="n">
        <v>0</v>
      </c>
      <c r="P82" s="50" t="n">
        <v>1596684941</v>
      </c>
      <c r="Q82" s="50" t="n">
        <v>424297820</v>
      </c>
      <c r="R82" s="50" t="n">
        <v>328591565</v>
      </c>
      <c r="S82" s="50" t="n">
        <v>1147519276</v>
      </c>
      <c r="T82" s="50" t="n">
        <v>560817403</v>
      </c>
    </row>
    <row r="83">
      <c r="A83" s="49" t="n">
        <v>46062</v>
      </c>
      <c r="B83" s="50" t="n">
        <v>5733486771</v>
      </c>
      <c r="C83" s="50" t="n">
        <v>584545626</v>
      </c>
      <c r="D83" s="50" t="n">
        <v>4066218484</v>
      </c>
      <c r="E83" s="50" t="n">
        <v>847507866</v>
      </c>
      <c r="F83" s="50" t="n">
        <v>235214795</v>
      </c>
      <c r="H83" s="50" t="n">
        <v>239493458</v>
      </c>
      <c r="I83" s="50" t="n">
        <v>1984221165</v>
      </c>
      <c r="J83" s="50" t="n">
        <v>525887040</v>
      </c>
      <c r="K83" s="50" t="n">
        <v>808392790</v>
      </c>
      <c r="L83" s="50" t="n">
        <v>1336900741</v>
      </c>
      <c r="M83" s="50" t="n">
        <v>838591577</v>
      </c>
      <c r="O83" s="50" t="n">
        <v>0</v>
      </c>
      <c r="P83" s="50" t="n">
        <v>1597610226</v>
      </c>
      <c r="Q83" s="50" t="n">
        <v>425573520</v>
      </c>
      <c r="R83" s="50" t="n">
        <v>332335340</v>
      </c>
      <c r="S83" s="50" t="n">
        <v>1152500716</v>
      </c>
      <c r="T83" s="50" t="n">
        <v>558198682</v>
      </c>
    </row>
    <row r="84">
      <c r="A84" s="49" t="n">
        <v>46061</v>
      </c>
      <c r="B84" s="50" t="n">
        <v>5698652042</v>
      </c>
      <c r="C84" s="50" t="n">
        <v>581774273</v>
      </c>
      <c r="D84" s="50" t="n">
        <v>4038081246</v>
      </c>
      <c r="E84" s="50" t="n">
        <v>845925179</v>
      </c>
      <c r="F84" s="50" t="n">
        <v>232871344</v>
      </c>
      <c r="H84" s="50" t="n">
        <v>241691838</v>
      </c>
      <c r="I84" s="50" t="n">
        <v>1977952232</v>
      </c>
      <c r="J84" s="50" t="n">
        <v>512802920</v>
      </c>
      <c r="K84" s="50" t="n">
        <v>789798730</v>
      </c>
      <c r="L84" s="50" t="n">
        <v>1334079142</v>
      </c>
      <c r="M84" s="50" t="n">
        <v>842327181</v>
      </c>
      <c r="O84" s="50" t="n">
        <v>0</v>
      </c>
      <c r="P84" s="50" t="n">
        <v>1593224429</v>
      </c>
      <c r="Q84" s="50" t="n">
        <v>414985210</v>
      </c>
      <c r="R84" s="50" t="n">
        <v>316925930</v>
      </c>
      <c r="S84" s="50" t="n">
        <v>1152752047</v>
      </c>
      <c r="T84" s="50" t="n">
        <v>560193631</v>
      </c>
    </row>
    <row r="85">
      <c r="A85" s="49" t="n">
        <v>46060</v>
      </c>
      <c r="B85" s="50" t="n">
        <v>5694421847</v>
      </c>
      <c r="C85" s="50" t="n">
        <v>578371969</v>
      </c>
      <c r="D85" s="50" t="n">
        <v>4038081246</v>
      </c>
      <c r="E85" s="50" t="n">
        <v>845478402</v>
      </c>
      <c r="F85" s="50" t="n">
        <v>232490230</v>
      </c>
      <c r="H85" s="50" t="n">
        <v>237461708</v>
      </c>
      <c r="I85" s="50" t="n">
        <v>1977952166</v>
      </c>
      <c r="J85" s="50" t="n">
        <v>512802920</v>
      </c>
      <c r="K85" s="50" t="n">
        <v>789798730</v>
      </c>
      <c r="L85" s="50" t="n">
        <v>1334079142</v>
      </c>
      <c r="M85" s="50" t="n">
        <v>842327181</v>
      </c>
      <c r="O85" s="50" t="n">
        <v>0</v>
      </c>
      <c r="P85" s="50" t="n">
        <v>1593224429</v>
      </c>
      <c r="Q85" s="50" t="n">
        <v>414985210</v>
      </c>
      <c r="R85" s="50" t="n">
        <v>316925930</v>
      </c>
      <c r="S85" s="50" t="n">
        <v>1152752047</v>
      </c>
      <c r="T85" s="50" t="n">
        <v>560193631</v>
      </c>
    </row>
    <row r="86">
      <c r="A86" s="49" t="n">
        <v>46059</v>
      </c>
      <c r="B86" s="50" t="n">
        <v>5699291673</v>
      </c>
      <c r="C86" s="50" t="n">
        <v>582411898</v>
      </c>
      <c r="D86" s="50" t="n">
        <v>4038081246</v>
      </c>
      <c r="E86" s="50" t="n">
        <v>845908425</v>
      </c>
      <c r="F86" s="50" t="n">
        <v>232890103</v>
      </c>
      <c r="H86" s="50" t="n">
        <v>242331458</v>
      </c>
      <c r="I86" s="50" t="n">
        <v>1977952243</v>
      </c>
      <c r="J86" s="50" t="n">
        <v>512802920</v>
      </c>
      <c r="K86" s="50" t="n">
        <v>789798730</v>
      </c>
      <c r="L86" s="50" t="n">
        <v>1334079142</v>
      </c>
      <c r="M86" s="50" t="n">
        <v>842327181</v>
      </c>
      <c r="O86" s="50" t="n">
        <v>0</v>
      </c>
      <c r="P86" s="50" t="n">
        <v>1593224429</v>
      </c>
      <c r="Q86" s="50" t="n">
        <v>414985210</v>
      </c>
      <c r="R86" s="50" t="n">
        <v>316925930</v>
      </c>
      <c r="S86" s="50" t="n">
        <v>1152752047</v>
      </c>
      <c r="T86" s="50" t="n">
        <v>560193631</v>
      </c>
    </row>
    <row r="87">
      <c r="A87" s="49" t="n">
        <v>46058</v>
      </c>
      <c r="B87" s="50" t="n">
        <v>5651250483</v>
      </c>
      <c r="C87" s="50" t="n">
        <v>563725231</v>
      </c>
      <c r="D87" s="50" t="n">
        <v>4002518439</v>
      </c>
      <c r="E87" s="50" t="n">
        <v>852951942</v>
      </c>
      <c r="F87" s="50" t="n">
        <v>232054871</v>
      </c>
      <c r="H87" s="50" t="n">
        <v>214354534</v>
      </c>
      <c r="I87" s="50" t="n">
        <v>1942689974</v>
      </c>
      <c r="J87" s="50" t="n">
        <v>520527280</v>
      </c>
      <c r="K87" s="50" t="n">
        <v>808445870</v>
      </c>
      <c r="L87" s="50" t="n">
        <v>1321342971</v>
      </c>
      <c r="M87" s="50" t="n">
        <v>843889854</v>
      </c>
      <c r="O87" s="50" t="n">
        <v>0</v>
      </c>
      <c r="P87" s="50" t="n">
        <v>1557509239</v>
      </c>
      <c r="Q87" s="50" t="n">
        <v>421236140</v>
      </c>
      <c r="R87" s="50" t="n">
        <v>323534710</v>
      </c>
      <c r="S87" s="50" t="n">
        <v>1137084501</v>
      </c>
      <c r="T87" s="50" t="n">
        <v>563153849</v>
      </c>
    </row>
    <row r="88">
      <c r="A88" s="49" t="n">
        <v>46057</v>
      </c>
      <c r="B88" s="50" t="n">
        <v>5737981645</v>
      </c>
      <c r="C88" s="50" t="n">
        <v>594280418</v>
      </c>
      <c r="D88" s="50" t="n">
        <v>4057172468</v>
      </c>
      <c r="E88" s="50" t="n">
        <v>850101733</v>
      </c>
      <c r="F88" s="50" t="n">
        <v>236427026</v>
      </c>
      <c r="H88" s="50" t="n">
        <v>249239544</v>
      </c>
      <c r="I88" s="50" t="n">
        <v>1970068581</v>
      </c>
      <c r="J88" s="50" t="n">
        <v>538419420</v>
      </c>
      <c r="K88" s="50" t="n">
        <v>820541540</v>
      </c>
      <c r="L88" s="50" t="n">
        <v>1325901048</v>
      </c>
      <c r="M88" s="50" t="n">
        <v>833811513</v>
      </c>
      <c r="O88" s="50" t="n">
        <v>0</v>
      </c>
      <c r="P88" s="50" t="n">
        <v>1586202442</v>
      </c>
      <c r="Q88" s="50" t="n">
        <v>435715335</v>
      </c>
      <c r="R88" s="50" t="n">
        <v>338009960</v>
      </c>
      <c r="S88" s="50" t="n">
        <v>1141021458</v>
      </c>
      <c r="T88" s="50" t="n">
        <v>556223273</v>
      </c>
    </row>
    <row r="89">
      <c r="A89" s="49" t="n">
        <v>46056</v>
      </c>
      <c r="B89" s="50" t="n">
        <v>5713587256</v>
      </c>
      <c r="C89" s="50" t="n">
        <v>600147537</v>
      </c>
      <c r="D89" s="50" t="n">
        <v>4035455486</v>
      </c>
      <c r="E89" s="50" t="n">
        <v>840003369</v>
      </c>
      <c r="F89" s="50" t="n">
        <v>237980864</v>
      </c>
      <c r="H89" s="50" t="n">
        <v>258484670</v>
      </c>
      <c r="I89" s="50" t="n">
        <v>1967471324</v>
      </c>
      <c r="J89" s="50" t="n">
        <v>523522440</v>
      </c>
      <c r="K89" s="50" t="n">
        <v>807572935</v>
      </c>
      <c r="L89" s="50" t="n">
        <v>1327058001</v>
      </c>
      <c r="M89" s="50" t="n">
        <v>829477887</v>
      </c>
      <c r="O89" s="50" t="n">
        <v>0</v>
      </c>
      <c r="P89" s="50" t="n">
        <v>1583603229</v>
      </c>
      <c r="Q89" s="50" t="n">
        <v>423659970</v>
      </c>
      <c r="R89" s="50" t="n">
        <v>336389310</v>
      </c>
      <c r="S89" s="50" t="n">
        <v>1139177781</v>
      </c>
      <c r="T89" s="50" t="n">
        <v>552625197</v>
      </c>
    </row>
    <row r="90">
      <c r="A90" s="49" t="n">
        <v>46055</v>
      </c>
      <c r="B90" s="50" t="n">
        <v>5668517472</v>
      </c>
      <c r="C90" s="50" t="n">
        <v>602064563</v>
      </c>
      <c r="D90" s="50" t="n">
        <v>4003656214</v>
      </c>
      <c r="E90" s="50" t="n">
        <v>826094562</v>
      </c>
      <c r="F90" s="50" t="n">
        <v>236702134</v>
      </c>
      <c r="H90" s="50" t="n">
        <v>269803103</v>
      </c>
      <c r="I90" s="50" t="n">
        <v>1974432809</v>
      </c>
      <c r="J90" s="50" t="n">
        <v>487107600</v>
      </c>
      <c r="K90" s="50" t="n">
        <v>769054410</v>
      </c>
      <c r="L90" s="50" t="n">
        <v>1333410162</v>
      </c>
      <c r="M90" s="50" t="n">
        <v>834709388</v>
      </c>
      <c r="O90" s="50" t="n">
        <v>0</v>
      </c>
      <c r="P90" s="50" t="n">
        <v>1590267979</v>
      </c>
      <c r="Q90" s="50" t="n">
        <v>394191300</v>
      </c>
      <c r="R90" s="50" t="n">
        <v>317194205</v>
      </c>
      <c r="S90" s="50" t="n">
        <v>1148477787</v>
      </c>
      <c r="T90" s="50" t="n">
        <v>553524943</v>
      </c>
    </row>
    <row r="91">
      <c r="A91" s="49" t="n">
        <v>46054</v>
      </c>
      <c r="B91" s="50" t="n">
        <v>5750256743</v>
      </c>
      <c r="C91" s="50" t="n">
        <v>607852284</v>
      </c>
      <c r="D91" s="50" t="n">
        <v>4069177407</v>
      </c>
      <c r="E91" s="50" t="n">
        <v>834660654</v>
      </c>
      <c r="F91" s="50" t="n">
        <v>238566399</v>
      </c>
      <c r="H91" s="50" t="n">
        <v>262216444</v>
      </c>
      <c r="I91" s="50" t="n">
        <v>1970743076</v>
      </c>
      <c r="J91" s="50" t="n">
        <v>558676160</v>
      </c>
      <c r="K91" s="50" t="n">
        <v>804958435</v>
      </c>
      <c r="L91" s="50" t="n">
        <v>1323435790</v>
      </c>
      <c r="M91" s="50" t="n">
        <v>830226838</v>
      </c>
      <c r="O91" s="50" t="n">
        <v>0</v>
      </c>
      <c r="P91" s="50" t="n">
        <v>1587807863</v>
      </c>
      <c r="Q91" s="50" t="n">
        <v>452108080</v>
      </c>
      <c r="R91" s="50" t="n">
        <v>336776420</v>
      </c>
      <c r="S91" s="50" t="n">
        <v>1138029340</v>
      </c>
      <c r="T91" s="50" t="n">
        <v>554455703</v>
      </c>
    </row>
    <row r="92">
      <c r="A92" s="49" t="n">
        <v>46053</v>
      </c>
      <c r="B92" s="50" t="n">
        <v>5760483672</v>
      </c>
      <c r="C92" s="50" t="n">
        <v>615197817</v>
      </c>
      <c r="D92" s="50" t="n">
        <v>4069177407</v>
      </c>
      <c r="E92" s="50" t="n">
        <v>836343030</v>
      </c>
      <c r="F92" s="50" t="n">
        <v>239765419</v>
      </c>
      <c r="H92" s="50" t="n">
        <v>272443177</v>
      </c>
      <c r="I92" s="50" t="n">
        <v>1970743272</v>
      </c>
      <c r="J92" s="50" t="n">
        <v>558676160</v>
      </c>
      <c r="K92" s="50" t="n">
        <v>804958435</v>
      </c>
      <c r="L92" s="50" t="n">
        <v>1323435790</v>
      </c>
      <c r="M92" s="50" t="n">
        <v>830226838</v>
      </c>
      <c r="O92" s="50" t="n">
        <v>0</v>
      </c>
      <c r="P92" s="50" t="n">
        <v>1587807863</v>
      </c>
      <c r="Q92" s="50" t="n">
        <v>452108080</v>
      </c>
      <c r="R92" s="50" t="n">
        <v>336776420</v>
      </c>
      <c r="S92" s="50" t="n">
        <v>1138029340</v>
      </c>
      <c r="T92" s="50" t="n">
        <v>554455703</v>
      </c>
    </row>
    <row r="93">
      <c r="A93" s="49" t="n">
        <v>46052</v>
      </c>
      <c r="B93" s="50" t="n">
        <v>5778646414</v>
      </c>
      <c r="C93" s="50" t="n">
        <v>628821953</v>
      </c>
      <c r="D93" s="50" t="n">
        <v>4069177407</v>
      </c>
      <c r="E93" s="50" t="n">
        <v>838934792</v>
      </c>
      <c r="F93" s="50" t="n">
        <v>241712263</v>
      </c>
      <c r="H93" s="50" t="n">
        <v>290606006</v>
      </c>
      <c r="I93" s="50" t="n">
        <v>1970743185</v>
      </c>
      <c r="J93" s="50" t="n">
        <v>558676160</v>
      </c>
      <c r="K93" s="50" t="n">
        <v>804958435</v>
      </c>
      <c r="L93" s="50" t="n">
        <v>1323435790</v>
      </c>
      <c r="M93" s="50" t="n">
        <v>830226838</v>
      </c>
      <c r="O93" s="50" t="n">
        <v>0</v>
      </c>
      <c r="P93" s="50" t="n">
        <v>1587807863</v>
      </c>
      <c r="Q93" s="50" t="n">
        <v>452108080</v>
      </c>
      <c r="R93" s="50" t="n">
        <v>336776420</v>
      </c>
      <c r="S93" s="50" t="n">
        <v>1138029340</v>
      </c>
      <c r="T93" s="50" t="n">
        <v>554455703</v>
      </c>
    </row>
    <row r="94">
      <c r="A94" s="49" t="n">
        <v>46051</v>
      </c>
      <c r="B94" s="50" t="n">
        <v>5793233302</v>
      </c>
      <c r="C94" s="50" t="n">
        <v>633810010</v>
      </c>
      <c r="D94" s="50" t="n">
        <v>4069213576</v>
      </c>
      <c r="E94" s="50" t="n">
        <v>846689353</v>
      </c>
      <c r="F94" s="50" t="n">
        <v>243520363</v>
      </c>
      <c r="H94" s="50" t="n">
        <v>289126897</v>
      </c>
      <c r="I94" s="50" t="n">
        <v>1953866119</v>
      </c>
      <c r="J94" s="50" t="n">
        <v>597297960</v>
      </c>
      <c r="K94" s="50" t="n">
        <v>817587420</v>
      </c>
      <c r="L94" s="50" t="n">
        <v>1313762889</v>
      </c>
      <c r="M94" s="50" t="n">
        <v>821592018</v>
      </c>
      <c r="O94" s="50" t="n">
        <v>0</v>
      </c>
      <c r="P94" s="50" t="n">
        <v>1571424890</v>
      </c>
      <c r="Q94" s="50" t="n">
        <v>483362730</v>
      </c>
      <c r="R94" s="50" t="n">
        <v>339391175</v>
      </c>
      <c r="S94" s="50" t="n">
        <v>1126927464</v>
      </c>
      <c r="T94" s="50" t="n">
        <v>548107318</v>
      </c>
    </row>
    <row r="95">
      <c r="A95" s="49" t="n">
        <v>46050</v>
      </c>
      <c r="B95" s="50" t="n">
        <v>5753935986</v>
      </c>
      <c r="C95" s="50" t="n">
        <v>636390648</v>
      </c>
      <c r="D95" s="50" t="n">
        <v>4036898458</v>
      </c>
      <c r="E95" s="50" t="n">
        <v>837561140</v>
      </c>
      <c r="F95" s="50" t="n">
        <v>243085740</v>
      </c>
      <c r="H95" s="50" t="n">
        <v>301100761</v>
      </c>
      <c r="I95" s="50" t="n">
        <v>1959694930</v>
      </c>
      <c r="J95" s="50" t="n">
        <v>556705660</v>
      </c>
      <c r="K95" s="50" t="n">
        <v>796799550</v>
      </c>
      <c r="L95" s="50" t="n">
        <v>1317122012</v>
      </c>
      <c r="M95" s="50" t="n">
        <v>822513073</v>
      </c>
      <c r="O95" s="50" t="n">
        <v>0</v>
      </c>
      <c r="P95" s="50" t="n">
        <v>1576666497</v>
      </c>
      <c r="Q95" s="50" t="n">
        <v>450513455</v>
      </c>
      <c r="R95" s="50" t="n">
        <v>332627750</v>
      </c>
      <c r="S95" s="50" t="n">
        <v>1129900817</v>
      </c>
      <c r="T95" s="50" t="n">
        <v>547189938</v>
      </c>
    </row>
    <row r="96">
      <c r="A96" s="49" t="n">
        <v>46049</v>
      </c>
      <c r="B96" s="50" t="n">
        <v>5734828630</v>
      </c>
      <c r="C96" s="50" t="n">
        <v>633604019</v>
      </c>
      <c r="D96" s="50" t="n">
        <v>4011495271</v>
      </c>
      <c r="E96" s="50" t="n">
        <v>846774339</v>
      </c>
      <c r="F96" s="50" t="n">
        <v>242955001</v>
      </c>
      <c r="H96" s="50" t="n">
        <v>302172017</v>
      </c>
      <c r="I96" s="50" t="n">
        <v>1963149978</v>
      </c>
      <c r="J96" s="50" t="n">
        <v>539207620</v>
      </c>
      <c r="K96" s="50" t="n">
        <v>784309575</v>
      </c>
      <c r="L96" s="50" t="n">
        <v>1317235484</v>
      </c>
      <c r="M96" s="50" t="n">
        <v>828753956</v>
      </c>
      <c r="O96" s="50" t="n">
        <v>0</v>
      </c>
      <c r="P96" s="50" t="n">
        <v>1578736641</v>
      </c>
      <c r="Q96" s="50" t="n">
        <v>436353185</v>
      </c>
      <c r="R96" s="50" t="n">
        <v>318888120</v>
      </c>
      <c r="S96" s="50" t="n">
        <v>1129251149</v>
      </c>
      <c r="T96" s="50" t="n">
        <v>548266176</v>
      </c>
    </row>
    <row r="97">
      <c r="A97" s="49" t="n">
        <v>46048</v>
      </c>
      <c r="B97" s="50" t="n">
        <v>5719930605</v>
      </c>
      <c r="C97" s="50" t="n">
        <v>629396099</v>
      </c>
      <c r="D97" s="50" t="n">
        <v>4006001900</v>
      </c>
      <c r="E97" s="50" t="n">
        <v>844234367</v>
      </c>
      <c r="F97" s="50" t="n">
        <v>240298238</v>
      </c>
      <c r="H97" s="50" t="n">
        <v>301734265</v>
      </c>
      <c r="I97" s="50" t="n">
        <v>1969268110</v>
      </c>
      <c r="J97" s="50" t="n">
        <v>526202320</v>
      </c>
      <c r="K97" s="50" t="n">
        <v>771975525</v>
      </c>
      <c r="L97" s="50" t="n">
        <v>1316527693</v>
      </c>
      <c r="M97" s="50" t="n">
        <v>834222693</v>
      </c>
      <c r="O97" s="50" t="n">
        <v>0</v>
      </c>
      <c r="P97" s="50" t="n">
        <v>1585245499</v>
      </c>
      <c r="Q97" s="50" t="n">
        <v>425828660</v>
      </c>
      <c r="R97" s="50" t="n">
        <v>309116690</v>
      </c>
      <c r="S97" s="50" t="n">
        <v>1130941918</v>
      </c>
      <c r="T97" s="50" t="n">
        <v>554869133</v>
      </c>
    </row>
    <row r="98">
      <c r="A98" s="49" t="n">
        <v>46047</v>
      </c>
      <c r="B98" s="50" t="n">
        <v>5687697333</v>
      </c>
      <c r="C98" s="50" t="n">
        <v>624722082</v>
      </c>
      <c r="D98" s="50" t="n">
        <v>3985808699</v>
      </c>
      <c r="E98" s="50" t="n">
        <v>836703298</v>
      </c>
      <c r="F98" s="50" t="n">
        <v>240463254</v>
      </c>
      <c r="H98" s="50" t="n">
        <v>298563220</v>
      </c>
      <c r="I98" s="50" t="n">
        <v>1973939934</v>
      </c>
      <c r="J98" s="50" t="n">
        <v>518241500</v>
      </c>
      <c r="K98" s="50" t="n">
        <v>743189635</v>
      </c>
      <c r="L98" s="50" t="n">
        <v>1316362988</v>
      </c>
      <c r="M98" s="50" t="n">
        <v>837400056</v>
      </c>
      <c r="O98" s="50" t="n">
        <v>0</v>
      </c>
      <c r="P98" s="50" t="n">
        <v>1588957591</v>
      </c>
      <c r="Q98" s="50" t="n">
        <v>419386375</v>
      </c>
      <c r="R98" s="50" t="n">
        <v>296327225</v>
      </c>
      <c r="S98" s="50" t="n">
        <v>1127400998</v>
      </c>
      <c r="T98" s="50" t="n">
        <v>553736511</v>
      </c>
    </row>
    <row r="99">
      <c r="A99" s="49" t="n">
        <v>46046</v>
      </c>
      <c r="B99" s="50" t="n">
        <v>5695836402</v>
      </c>
      <c r="C99" s="50" t="n">
        <v>630766721</v>
      </c>
      <c r="D99" s="50" t="n">
        <v>3985808699</v>
      </c>
      <c r="E99" s="50" t="n">
        <v>837906189</v>
      </c>
      <c r="F99" s="50" t="n">
        <v>241354793</v>
      </c>
      <c r="H99" s="50" t="n">
        <v>306702354</v>
      </c>
      <c r="I99" s="50" t="n">
        <v>1973939869</v>
      </c>
      <c r="J99" s="50" t="n">
        <v>518241500</v>
      </c>
      <c r="K99" s="50" t="n">
        <v>743189635</v>
      </c>
      <c r="L99" s="50" t="n">
        <v>1316362988</v>
      </c>
      <c r="M99" s="50" t="n">
        <v>837400056</v>
      </c>
      <c r="O99" s="50" t="n">
        <v>0</v>
      </c>
      <c r="P99" s="50" t="n">
        <v>1588957591</v>
      </c>
      <c r="Q99" s="50" t="n">
        <v>419386375</v>
      </c>
      <c r="R99" s="50" t="n">
        <v>296327225</v>
      </c>
      <c r="S99" s="50" t="n">
        <v>1127400998</v>
      </c>
      <c r="T99" s="50" t="n">
        <v>553736511</v>
      </c>
    </row>
    <row r="100">
      <c r="A100" s="49" t="n">
        <v>46045</v>
      </c>
      <c r="B100" s="50" t="n">
        <v>5696063843</v>
      </c>
      <c r="C100" s="50" t="n">
        <v>630973206</v>
      </c>
      <c r="D100" s="50" t="n">
        <v>3985808699</v>
      </c>
      <c r="E100" s="50" t="n">
        <v>837914086</v>
      </c>
      <c r="F100" s="50" t="n">
        <v>241367852</v>
      </c>
      <c r="H100" s="50" t="n">
        <v>306929839</v>
      </c>
      <c r="I100" s="50" t="n">
        <v>1973939825</v>
      </c>
      <c r="J100" s="50" t="n">
        <v>518241500</v>
      </c>
      <c r="K100" s="50" t="n">
        <v>743189635</v>
      </c>
      <c r="L100" s="50" t="n">
        <v>1316362988</v>
      </c>
      <c r="M100" s="50" t="n">
        <v>837400056</v>
      </c>
      <c r="O100" s="50" t="n">
        <v>0</v>
      </c>
      <c r="P100" s="50" t="n">
        <v>1588957591</v>
      </c>
      <c r="Q100" s="50" t="n">
        <v>419386375</v>
      </c>
      <c r="R100" s="50" t="n">
        <v>296327225</v>
      </c>
      <c r="S100" s="50" t="n">
        <v>1127400998</v>
      </c>
      <c r="T100" s="50" t="n">
        <v>553736511</v>
      </c>
    </row>
    <row r="101">
      <c r="A101" s="49" t="n">
        <v>46044</v>
      </c>
      <c r="B101" s="50" t="n">
        <v>5696573088</v>
      </c>
      <c r="C101" s="50" t="n">
        <v>628838935</v>
      </c>
      <c r="D101" s="50" t="n">
        <v>3999501024</v>
      </c>
      <c r="E101" s="50" t="n">
        <v>828552956</v>
      </c>
      <c r="F101" s="50" t="n">
        <v>239680172</v>
      </c>
      <c r="H101" s="50" t="n">
        <v>309210758</v>
      </c>
      <c r="I101" s="50" t="n">
        <v>1985240554</v>
      </c>
      <c r="J101" s="50" t="n">
        <v>507206700</v>
      </c>
      <c r="K101" s="50" t="n">
        <v>725944795</v>
      </c>
      <c r="L101" s="50" t="n">
        <v>1326935414</v>
      </c>
      <c r="M101" s="50" t="n">
        <v>842034868</v>
      </c>
      <c r="O101" s="50" t="n">
        <v>0</v>
      </c>
      <c r="P101" s="50" t="n">
        <v>1600052228</v>
      </c>
      <c r="Q101" s="50" t="n">
        <v>410456475</v>
      </c>
      <c r="R101" s="50" t="n">
        <v>290271770</v>
      </c>
      <c r="S101" s="50" t="n">
        <v>1139137679</v>
      </c>
      <c r="T101" s="50" t="n">
        <v>559582873</v>
      </c>
    </row>
    <row r="102">
      <c r="A102" s="49" t="n">
        <v>46043</v>
      </c>
      <c r="B102" s="50" t="n">
        <v>5679935051</v>
      </c>
      <c r="C102" s="50" t="n">
        <v>626740192</v>
      </c>
      <c r="D102" s="50" t="n">
        <v>3990131547</v>
      </c>
      <c r="E102" s="50" t="n">
        <v>824582084</v>
      </c>
      <c r="F102" s="50" t="n">
        <v>238481227</v>
      </c>
      <c r="H102" s="50" t="n">
        <v>308534915</v>
      </c>
      <c r="I102" s="50" t="n">
        <v>1984061112</v>
      </c>
      <c r="J102" s="50" t="n">
        <v>510438320</v>
      </c>
      <c r="K102" s="50" t="n">
        <v>716188735</v>
      </c>
      <c r="L102" s="50" t="n">
        <v>1319883600</v>
      </c>
      <c r="M102" s="50" t="n">
        <v>840828369</v>
      </c>
      <c r="O102" s="50" t="n">
        <v>0</v>
      </c>
      <c r="P102" s="50" t="n">
        <v>1599148509</v>
      </c>
      <c r="Q102" s="50" t="n">
        <v>413071660</v>
      </c>
      <c r="R102" s="50" t="n">
        <v>284943095</v>
      </c>
      <c r="S102" s="50" t="n">
        <v>1133870580</v>
      </c>
      <c r="T102" s="50" t="n">
        <v>559097704</v>
      </c>
    </row>
    <row r="103">
      <c r="A103" s="49" t="n">
        <v>46042</v>
      </c>
      <c r="B103" s="50" t="n">
        <v>5688360602</v>
      </c>
      <c r="C103" s="50" t="n">
        <v>626052916</v>
      </c>
      <c r="D103" s="50" t="n">
        <v>3989119917</v>
      </c>
      <c r="E103" s="50" t="n">
        <v>833498678</v>
      </c>
      <c r="F103" s="50" t="n">
        <v>239689090</v>
      </c>
      <c r="H103" s="50" t="n">
        <v>306760714</v>
      </c>
      <c r="I103" s="50" t="n">
        <v>1990242739</v>
      </c>
      <c r="J103" s="50" t="n">
        <v>497433020</v>
      </c>
      <c r="K103" s="50" t="n">
        <v>730153475</v>
      </c>
      <c r="L103" s="50" t="n">
        <v>1317707149</v>
      </c>
      <c r="M103" s="50" t="n">
        <v>846063505</v>
      </c>
      <c r="O103" s="50" t="n">
        <v>0</v>
      </c>
      <c r="P103" s="50" t="n">
        <v>1604118493</v>
      </c>
      <c r="Q103" s="50" t="n">
        <v>402547135</v>
      </c>
      <c r="R103" s="50" t="n">
        <v>289446730</v>
      </c>
      <c r="S103" s="50" t="n">
        <v>1130176714</v>
      </c>
      <c r="T103" s="50" t="n">
        <v>562830845</v>
      </c>
    </row>
    <row r="104">
      <c r="A104" s="49" t="n">
        <v>46041</v>
      </c>
      <c r="B104" s="50" t="n">
        <v>5708139172</v>
      </c>
      <c r="C104" s="50" t="n">
        <v>635164074</v>
      </c>
      <c r="D104" s="50" t="n">
        <v>4000987223</v>
      </c>
      <c r="E104" s="50" t="n">
        <v>830863391</v>
      </c>
      <c r="F104" s="50" t="n">
        <v>241124484</v>
      </c>
      <c r="H104" s="50" t="n">
        <v>320293311</v>
      </c>
      <c r="I104" s="50" t="n">
        <v>1993354424</v>
      </c>
      <c r="J104" s="50" t="n">
        <v>489314560</v>
      </c>
      <c r="K104" s="50" t="n">
        <v>725924945</v>
      </c>
      <c r="L104" s="50" t="n">
        <v>1331702740</v>
      </c>
      <c r="M104" s="50" t="n">
        <v>847549191</v>
      </c>
      <c r="O104" s="50" t="n">
        <v>0</v>
      </c>
      <c r="P104" s="50" t="n">
        <v>1607262341</v>
      </c>
      <c r="Q104" s="50" t="n">
        <v>395977280</v>
      </c>
      <c r="R104" s="50" t="n">
        <v>290448800</v>
      </c>
      <c r="S104" s="50" t="n">
        <v>1143665155</v>
      </c>
      <c r="T104" s="50" t="n">
        <v>563633646</v>
      </c>
    </row>
    <row r="105">
      <c r="A105" s="49" t="n">
        <v>46040</v>
      </c>
      <c r="B105" s="50" t="n">
        <v>5709393460</v>
      </c>
      <c r="C105" s="50" t="n">
        <v>639169024</v>
      </c>
      <c r="D105" s="50" t="n">
        <v>3992682011</v>
      </c>
      <c r="E105" s="50" t="n">
        <v>834669167</v>
      </c>
      <c r="F105" s="50" t="n">
        <v>242873258</v>
      </c>
      <c r="H105" s="50" t="n">
        <v>324815749</v>
      </c>
      <c r="I105" s="50" t="n">
        <v>1993192266</v>
      </c>
      <c r="J105" s="50" t="n">
        <v>483875980</v>
      </c>
      <c r="K105" s="50" t="n">
        <v>723376950</v>
      </c>
      <c r="L105" s="50" t="n">
        <v>1334074306</v>
      </c>
      <c r="M105" s="50" t="n">
        <v>850058209</v>
      </c>
      <c r="O105" s="50" t="n">
        <v>0</v>
      </c>
      <c r="P105" s="50" t="n">
        <v>1607130052</v>
      </c>
      <c r="Q105" s="50" t="n">
        <v>391576115</v>
      </c>
      <c r="R105" s="50" t="n">
        <v>286862400</v>
      </c>
      <c r="S105" s="50" t="n">
        <v>1143540991</v>
      </c>
      <c r="T105" s="50" t="n">
        <v>563572454</v>
      </c>
    </row>
    <row r="106">
      <c r="A106" s="49" t="n">
        <v>46039</v>
      </c>
      <c r="B106" s="50" t="n">
        <v>5712746673</v>
      </c>
      <c r="C106" s="50" t="n">
        <v>641838530</v>
      </c>
      <c r="D106" s="50" t="n">
        <v>3992682011</v>
      </c>
      <c r="E106" s="50" t="n">
        <v>835042106</v>
      </c>
      <c r="F106" s="50" t="n">
        <v>243184026</v>
      </c>
      <c r="H106" s="50" t="n">
        <v>328169039</v>
      </c>
      <c r="I106" s="50" t="n">
        <v>1993192190</v>
      </c>
      <c r="J106" s="50" t="n">
        <v>483875980</v>
      </c>
      <c r="K106" s="50" t="n">
        <v>723376950</v>
      </c>
      <c r="L106" s="50" t="n">
        <v>1334074306</v>
      </c>
      <c r="M106" s="50" t="n">
        <v>850058209</v>
      </c>
      <c r="O106" s="50" t="n">
        <v>0</v>
      </c>
      <c r="P106" s="50" t="n">
        <v>1607130052</v>
      </c>
      <c r="Q106" s="50" t="n">
        <v>391576115</v>
      </c>
      <c r="R106" s="50" t="n">
        <v>286862400</v>
      </c>
      <c r="S106" s="50" t="n">
        <v>1143540991</v>
      </c>
      <c r="T106" s="50" t="n">
        <v>563572454</v>
      </c>
    </row>
    <row r="107">
      <c r="A107" s="49" t="n">
        <v>46038</v>
      </c>
      <c r="B107" s="50" t="n">
        <v>5714162110</v>
      </c>
      <c r="C107" s="50" t="n">
        <v>643041584</v>
      </c>
      <c r="D107" s="50" t="n">
        <v>3992682011</v>
      </c>
      <c r="E107" s="50" t="n">
        <v>835147360</v>
      </c>
      <c r="F107" s="50" t="n">
        <v>243291155</v>
      </c>
      <c r="H107" s="50" t="n">
        <v>329584465</v>
      </c>
      <c r="I107" s="50" t="n">
        <v>1993192201</v>
      </c>
      <c r="J107" s="50" t="n">
        <v>483875980</v>
      </c>
      <c r="K107" s="50" t="n">
        <v>723376950</v>
      </c>
      <c r="L107" s="50" t="n">
        <v>1334074306</v>
      </c>
      <c r="M107" s="50" t="n">
        <v>850058209</v>
      </c>
      <c r="O107" s="50" t="n">
        <v>0</v>
      </c>
      <c r="P107" s="50" t="n">
        <v>1607130052</v>
      </c>
      <c r="Q107" s="50" t="n">
        <v>391576115</v>
      </c>
      <c r="R107" s="50" t="n">
        <v>286862400</v>
      </c>
      <c r="S107" s="50" t="n">
        <v>1143540991</v>
      </c>
      <c r="T107" s="50" t="n">
        <v>563572454</v>
      </c>
    </row>
    <row r="108">
      <c r="A108" s="49" t="n">
        <v>46037</v>
      </c>
      <c r="B108" s="50" t="n">
        <v>5707996277</v>
      </c>
      <c r="C108" s="50" t="n">
        <v>641145726</v>
      </c>
      <c r="D108" s="50" t="n">
        <v>3987031534</v>
      </c>
      <c r="E108" s="50" t="n">
        <v>837590553</v>
      </c>
      <c r="F108" s="50" t="n">
        <v>242228464</v>
      </c>
      <c r="H108" s="50" t="n">
        <v>328973258</v>
      </c>
      <c r="I108" s="50" t="n">
        <v>1990611323</v>
      </c>
      <c r="J108" s="50" t="n">
        <v>483087780</v>
      </c>
      <c r="K108" s="50" t="n">
        <v>723225375</v>
      </c>
      <c r="L108" s="50" t="n">
        <v>1332499033</v>
      </c>
      <c r="M108" s="50" t="n">
        <v>849599509</v>
      </c>
      <c r="O108" s="50" t="n">
        <v>0</v>
      </c>
      <c r="P108" s="50" t="n">
        <v>1604999462</v>
      </c>
      <c r="Q108" s="50" t="n">
        <v>390938265</v>
      </c>
      <c r="R108" s="50" t="n">
        <v>283701500</v>
      </c>
      <c r="S108" s="50" t="n">
        <v>1143287668</v>
      </c>
      <c r="T108" s="50" t="n">
        <v>564104639</v>
      </c>
    </row>
    <row r="109">
      <c r="A109" s="49" t="n">
        <v>46036</v>
      </c>
      <c r="B109" s="50" t="n">
        <v>5695356124</v>
      </c>
      <c r="C109" s="50" t="n">
        <v>644400411</v>
      </c>
      <c r="D109" s="50" t="n">
        <v>3973480264</v>
      </c>
      <c r="E109" s="50" t="n">
        <v>834033707</v>
      </c>
      <c r="F109" s="50" t="n">
        <v>243441742</v>
      </c>
      <c r="H109" s="50" t="n">
        <v>331723401</v>
      </c>
      <c r="I109" s="50" t="n">
        <v>1986868765</v>
      </c>
      <c r="J109" s="50" t="n">
        <v>487974620</v>
      </c>
      <c r="K109" s="50" t="n">
        <v>715233345</v>
      </c>
      <c r="L109" s="50" t="n">
        <v>1326300566</v>
      </c>
      <c r="M109" s="50" t="n">
        <v>847255426</v>
      </c>
      <c r="O109" s="50" t="n">
        <v>0</v>
      </c>
      <c r="P109" s="50" t="n">
        <v>1601468742</v>
      </c>
      <c r="Q109" s="50" t="n">
        <v>394892935</v>
      </c>
      <c r="R109" s="50" t="n">
        <v>280151755</v>
      </c>
      <c r="S109" s="50" t="n">
        <v>1135164056</v>
      </c>
      <c r="T109" s="50" t="n">
        <v>561802776</v>
      </c>
    </row>
    <row r="110">
      <c r="A110" s="49" t="n">
        <v>46035</v>
      </c>
      <c r="B110" s="50" t="n">
        <v>5711077567</v>
      </c>
      <c r="C110" s="50" t="n">
        <v>639753186</v>
      </c>
      <c r="D110" s="50" t="n">
        <v>3989919745</v>
      </c>
      <c r="E110" s="50" t="n">
        <v>838808119</v>
      </c>
      <c r="F110" s="50" t="n">
        <v>242596517</v>
      </c>
      <c r="H110" s="50" t="n">
        <v>327087722</v>
      </c>
      <c r="I110" s="50" t="n">
        <v>1992675781</v>
      </c>
      <c r="J110" s="50" t="n">
        <v>480959640</v>
      </c>
      <c r="K110" s="50" t="n">
        <v>721995775</v>
      </c>
      <c r="L110" s="50" t="n">
        <v>1339061826</v>
      </c>
      <c r="M110" s="50" t="n">
        <v>849296822</v>
      </c>
      <c r="O110" s="50" t="n">
        <v>0</v>
      </c>
      <c r="P110" s="50" t="n">
        <v>1607731881</v>
      </c>
      <c r="Q110" s="50" t="n">
        <v>389216070</v>
      </c>
      <c r="R110" s="50" t="n">
        <v>280349330</v>
      </c>
      <c r="S110" s="50" t="n">
        <v>1147871406</v>
      </c>
      <c r="T110" s="50" t="n">
        <v>564751057</v>
      </c>
    </row>
    <row r="111">
      <c r="A111" s="49" t="n">
        <v>46034</v>
      </c>
      <c r="B111" s="50" t="n">
        <v>5680807782</v>
      </c>
      <c r="C111" s="50" t="n">
        <v>628219275</v>
      </c>
      <c r="D111" s="50" t="n">
        <v>3971461247</v>
      </c>
      <c r="E111" s="50" t="n">
        <v>841474477</v>
      </c>
      <c r="F111" s="50" t="n">
        <v>239652783</v>
      </c>
      <c r="H111" s="50" t="n">
        <v>313997588</v>
      </c>
      <c r="I111" s="50" t="n">
        <v>1988283942</v>
      </c>
      <c r="J111" s="50" t="n">
        <v>478279760</v>
      </c>
      <c r="K111" s="50" t="n">
        <v>726190025</v>
      </c>
      <c r="L111" s="50" t="n">
        <v>1330202118</v>
      </c>
      <c r="M111" s="50" t="n">
        <v>843854349</v>
      </c>
      <c r="O111" s="50" t="n">
        <v>0</v>
      </c>
      <c r="P111" s="50" t="n">
        <v>1603653739</v>
      </c>
      <c r="Q111" s="50" t="n">
        <v>387047380</v>
      </c>
      <c r="R111" s="50" t="n">
        <v>278433675</v>
      </c>
      <c r="S111" s="50" t="n">
        <v>1141249653</v>
      </c>
      <c r="T111" s="50" t="n">
        <v>561076799</v>
      </c>
    </row>
    <row r="112">
      <c r="A112" s="49" t="n">
        <v>46033</v>
      </c>
      <c r="B112" s="50" t="n">
        <v>5644432407</v>
      </c>
      <c r="C112" s="50" t="n">
        <v>623655178</v>
      </c>
      <c r="D112" s="50" t="n">
        <v>3943087926</v>
      </c>
      <c r="E112" s="50" t="n">
        <v>839880274</v>
      </c>
      <c r="F112" s="50" t="n">
        <v>237809029</v>
      </c>
      <c r="H112" s="50" t="n">
        <v>312492746</v>
      </c>
      <c r="I112" s="50" t="n">
        <v>1982252704</v>
      </c>
      <c r="J112" s="50" t="n">
        <v>463855700</v>
      </c>
      <c r="K112" s="50" t="n">
        <v>725876785</v>
      </c>
      <c r="L112" s="50" t="n">
        <v>1321093027</v>
      </c>
      <c r="M112" s="50" t="n">
        <v>838861445</v>
      </c>
      <c r="O112" s="50" t="n">
        <v>0</v>
      </c>
      <c r="P112" s="50" t="n">
        <v>1598091454</v>
      </c>
      <c r="Q112" s="50" t="n">
        <v>375374725</v>
      </c>
      <c r="R112" s="50" t="n">
        <v>277938455</v>
      </c>
      <c r="S112" s="50" t="n">
        <v>1133617627</v>
      </c>
      <c r="T112" s="50" t="n">
        <v>558065665</v>
      </c>
    </row>
    <row r="113">
      <c r="A113" s="49" t="n">
        <v>46032</v>
      </c>
      <c r="B113" s="50" t="n">
        <v>5643154346</v>
      </c>
      <c r="C113" s="50" t="n">
        <v>622760287</v>
      </c>
      <c r="D113" s="50" t="n">
        <v>3943087926</v>
      </c>
      <c r="E113" s="50" t="n">
        <v>839654230</v>
      </c>
      <c r="F113" s="50" t="n">
        <v>237651902</v>
      </c>
      <c r="H113" s="50" t="n">
        <v>311214663</v>
      </c>
      <c r="I113" s="50" t="n">
        <v>1982252726</v>
      </c>
      <c r="J113" s="50" t="n">
        <v>463855700</v>
      </c>
      <c r="K113" s="50" t="n">
        <v>725876785</v>
      </c>
      <c r="L113" s="50" t="n">
        <v>1321093027</v>
      </c>
      <c r="M113" s="50" t="n">
        <v>838861445</v>
      </c>
      <c r="O113" s="50" t="n">
        <v>0</v>
      </c>
      <c r="P113" s="50" t="n">
        <v>1598091454</v>
      </c>
      <c r="Q113" s="50" t="n">
        <v>375374725</v>
      </c>
      <c r="R113" s="50" t="n">
        <v>277938455</v>
      </c>
      <c r="S113" s="50" t="n">
        <v>1133617627</v>
      </c>
      <c r="T113" s="50" t="n">
        <v>558065665</v>
      </c>
    </row>
    <row r="114">
      <c r="A114" s="49" t="n">
        <v>46031</v>
      </c>
      <c r="B114" s="50" t="n">
        <v>5643336953</v>
      </c>
      <c r="C114" s="50" t="n">
        <v>622910419</v>
      </c>
      <c r="D114" s="50" t="n">
        <v>3943087926</v>
      </c>
      <c r="E114" s="50" t="n">
        <v>839671283</v>
      </c>
      <c r="F114" s="50" t="n">
        <v>237667325</v>
      </c>
      <c r="H114" s="50" t="n">
        <v>311397281</v>
      </c>
      <c r="I114" s="50" t="n">
        <v>1982252715</v>
      </c>
      <c r="J114" s="50" t="n">
        <v>463855700</v>
      </c>
      <c r="K114" s="50" t="n">
        <v>725876785</v>
      </c>
      <c r="L114" s="50" t="n">
        <v>1321093027</v>
      </c>
      <c r="M114" s="50" t="n">
        <v>838861445</v>
      </c>
      <c r="O114" s="50" t="n">
        <v>0</v>
      </c>
      <c r="P114" s="50" t="n">
        <v>1598091454</v>
      </c>
      <c r="Q114" s="50" t="n">
        <v>375374725</v>
      </c>
      <c r="R114" s="50" t="n">
        <v>277938455</v>
      </c>
      <c r="S114" s="50" t="n">
        <v>1133617627</v>
      </c>
      <c r="T114" s="50" t="n">
        <v>558065665</v>
      </c>
    </row>
    <row r="115">
      <c r="A115" s="49" t="n">
        <v>46030</v>
      </c>
      <c r="B115" s="50" t="n">
        <v>5604038986</v>
      </c>
      <c r="C115" s="50" t="n">
        <v>620822723</v>
      </c>
      <c r="D115" s="50" t="n">
        <v>3916730089</v>
      </c>
      <c r="E115" s="50" t="n">
        <v>830038899</v>
      </c>
      <c r="F115" s="50" t="n">
        <v>236447274</v>
      </c>
      <c r="H115" s="50" t="n">
        <v>310711726</v>
      </c>
      <c r="I115" s="50" t="n">
        <v>1978380427</v>
      </c>
      <c r="J115" s="50" t="n">
        <v>457786560</v>
      </c>
      <c r="K115" s="50" t="n">
        <v>716308645</v>
      </c>
      <c r="L115" s="50" t="n">
        <v>1306463726</v>
      </c>
      <c r="M115" s="50" t="n">
        <v>834387901</v>
      </c>
      <c r="O115" s="50" t="n">
        <v>0</v>
      </c>
      <c r="P115" s="50" t="n">
        <v>1595156431</v>
      </c>
      <c r="Q115" s="50" t="n">
        <v>370463280</v>
      </c>
      <c r="R115" s="50" t="n">
        <v>276526965</v>
      </c>
      <c r="S115" s="50" t="n">
        <v>1120144181</v>
      </c>
      <c r="T115" s="50" t="n">
        <v>554439231</v>
      </c>
    </row>
    <row r="116">
      <c r="A116" s="49" t="n">
        <v>46029</v>
      </c>
      <c r="B116" s="50" t="n">
        <v>5586813363</v>
      </c>
      <c r="C116" s="50" t="n">
        <v>620794917</v>
      </c>
      <c r="D116" s="50" t="n">
        <v>3914158720</v>
      </c>
      <c r="E116" s="50" t="n">
        <v>815271985</v>
      </c>
      <c r="F116" s="50" t="n">
        <v>236587741</v>
      </c>
      <c r="H116" s="50" t="n">
        <v>310725083</v>
      </c>
      <c r="I116" s="50" t="n">
        <v>1976476023</v>
      </c>
      <c r="J116" s="50" t="n">
        <v>462121660</v>
      </c>
      <c r="K116" s="50" t="n">
        <v>701723610</v>
      </c>
      <c r="L116" s="50" t="n">
        <v>1302531658</v>
      </c>
      <c r="M116" s="50" t="n">
        <v>833235329</v>
      </c>
      <c r="O116" s="50" t="n">
        <v>0</v>
      </c>
      <c r="P116" s="50" t="n">
        <v>1592919377</v>
      </c>
      <c r="Q116" s="50" t="n">
        <v>373971455</v>
      </c>
      <c r="R116" s="50" t="n">
        <v>276670885</v>
      </c>
      <c r="S116" s="50" t="n">
        <v>1115853463</v>
      </c>
      <c r="T116" s="50" t="n">
        <v>554743539</v>
      </c>
    </row>
    <row r="117">
      <c r="A117" s="49" t="n">
        <v>46028</v>
      </c>
      <c r="B117" s="50" t="n">
        <v>5593227073</v>
      </c>
      <c r="C117" s="50" t="n">
        <v>626677491</v>
      </c>
      <c r="D117" s="50" t="n">
        <v>3914576360</v>
      </c>
      <c r="E117" s="50" t="n">
        <v>814845145</v>
      </c>
      <c r="F117" s="50" t="n">
        <v>237128076</v>
      </c>
      <c r="H117" s="50" t="n">
        <v>318336901</v>
      </c>
      <c r="I117" s="50" t="n">
        <v>1974867176</v>
      </c>
      <c r="J117" s="50" t="n">
        <v>466693220</v>
      </c>
      <c r="K117" s="50" t="n">
        <v>701531265</v>
      </c>
      <c r="L117" s="50" t="n">
        <v>1301796164</v>
      </c>
      <c r="M117" s="50" t="n">
        <v>830002347</v>
      </c>
      <c r="O117" s="50" t="n">
        <v>0</v>
      </c>
      <c r="P117" s="50" t="n">
        <v>1591779844</v>
      </c>
      <c r="Q117" s="50" t="n">
        <v>377670985</v>
      </c>
      <c r="R117" s="50" t="n">
        <v>276546650</v>
      </c>
      <c r="S117" s="50" t="n">
        <v>1116087884</v>
      </c>
      <c r="T117" s="50" t="n">
        <v>552490997</v>
      </c>
    </row>
    <row r="118">
      <c r="A118" s="49" t="n">
        <v>46027</v>
      </c>
      <c r="B118" s="50" t="n">
        <v>5576608033</v>
      </c>
      <c r="C118" s="50" t="n">
        <v>625820069</v>
      </c>
      <c r="D118" s="50" t="n">
        <v>3899424185</v>
      </c>
      <c r="E118" s="50" t="n">
        <v>815127499</v>
      </c>
      <c r="F118" s="50" t="n">
        <v>236236279</v>
      </c>
      <c r="H118" s="50" t="n">
        <v>317526203</v>
      </c>
      <c r="I118" s="50" t="n">
        <v>1973231548</v>
      </c>
      <c r="J118" s="50" t="n">
        <v>467008500</v>
      </c>
      <c r="K118" s="50" t="n">
        <v>699385655</v>
      </c>
      <c r="L118" s="50" t="n">
        <v>1289785762</v>
      </c>
      <c r="M118" s="50" t="n">
        <v>829670363</v>
      </c>
      <c r="O118" s="50" t="n">
        <v>0</v>
      </c>
      <c r="P118" s="50" t="n">
        <v>1590321224</v>
      </c>
      <c r="Q118" s="50" t="n">
        <v>377926125</v>
      </c>
      <c r="R118" s="50" t="n">
        <v>273567230</v>
      </c>
      <c r="S118" s="50" t="n">
        <v>1105520812</v>
      </c>
      <c r="T118" s="50" t="n">
        <v>552088793</v>
      </c>
    </row>
    <row r="119">
      <c r="A119" s="49" t="n">
        <v>46026</v>
      </c>
      <c r="B119" s="50" t="n">
        <v>5542258062</v>
      </c>
      <c r="C119" s="50" t="n">
        <v>618069728</v>
      </c>
      <c r="D119" s="50" t="n">
        <v>3872372645</v>
      </c>
      <c r="E119" s="50" t="n">
        <v>816709241</v>
      </c>
      <c r="F119" s="50" t="n">
        <v>235106448</v>
      </c>
      <c r="H119" s="50" t="n">
        <v>308829601</v>
      </c>
      <c r="I119" s="50" t="n">
        <v>1969557802</v>
      </c>
      <c r="J119" s="50" t="n">
        <v>461727560</v>
      </c>
      <c r="K119" s="50" t="n">
        <v>695080715</v>
      </c>
      <c r="L119" s="50" t="n">
        <v>1280369853</v>
      </c>
      <c r="M119" s="50" t="n">
        <v>826692530</v>
      </c>
      <c r="O119" s="50" t="n">
        <v>0</v>
      </c>
      <c r="P119" s="50" t="n">
        <v>1586926112</v>
      </c>
      <c r="Q119" s="50" t="n">
        <v>373652530</v>
      </c>
      <c r="R119" s="50" t="n">
        <v>266715365</v>
      </c>
      <c r="S119" s="50" t="n">
        <v>1095459903</v>
      </c>
      <c r="T119" s="50" t="n">
        <v>549618735</v>
      </c>
    </row>
    <row r="120">
      <c r="A120" s="49" t="n">
        <v>46025</v>
      </c>
      <c r="B120" s="50" t="n">
        <v>5539671187</v>
      </c>
      <c r="C120" s="50" t="n">
        <v>616029057</v>
      </c>
      <c r="D120" s="50" t="n">
        <v>3872372645</v>
      </c>
      <c r="E120" s="50" t="n">
        <v>816408698</v>
      </c>
      <c r="F120" s="50" t="n">
        <v>234860786</v>
      </c>
      <c r="H120" s="50" t="n">
        <v>306242704</v>
      </c>
      <c r="I120" s="50" t="n">
        <v>1969557824</v>
      </c>
      <c r="J120" s="50" t="n">
        <v>461727560</v>
      </c>
      <c r="K120" s="50" t="n">
        <v>695080715</v>
      </c>
      <c r="L120" s="50" t="n">
        <v>1280369853</v>
      </c>
      <c r="M120" s="50" t="n">
        <v>826692530</v>
      </c>
      <c r="O120" s="50" t="n">
        <v>0</v>
      </c>
      <c r="P120" s="50" t="n">
        <v>1586926112</v>
      </c>
      <c r="Q120" s="50" t="n">
        <v>373652530</v>
      </c>
      <c r="R120" s="50" t="n">
        <v>266715365</v>
      </c>
      <c r="S120" s="50" t="n">
        <v>1095459903</v>
      </c>
      <c r="T120" s="50" t="n">
        <v>549618735</v>
      </c>
    </row>
    <row r="121">
      <c r="A121" s="49" t="n">
        <v>46024</v>
      </c>
      <c r="B121" s="50" t="n">
        <v>5537451460</v>
      </c>
      <c r="C121" s="50" t="n">
        <v>614245288</v>
      </c>
      <c r="D121" s="50" t="n">
        <v>3872372645</v>
      </c>
      <c r="E121" s="50" t="n">
        <v>816173209</v>
      </c>
      <c r="F121" s="50" t="n">
        <v>234660317</v>
      </c>
      <c r="H121" s="50" t="n">
        <v>304022988</v>
      </c>
      <c r="I121" s="50" t="n">
        <v>1969557813</v>
      </c>
      <c r="J121" s="50" t="n">
        <v>461727560</v>
      </c>
      <c r="K121" s="50" t="n">
        <v>695080715</v>
      </c>
      <c r="L121" s="50" t="n">
        <v>1280369853</v>
      </c>
      <c r="M121" s="50" t="n">
        <v>826692530</v>
      </c>
      <c r="O121" s="50" t="n">
        <v>0</v>
      </c>
      <c r="P121" s="50" t="n">
        <v>1586926112</v>
      </c>
      <c r="Q121" s="50" t="n">
        <v>373652530</v>
      </c>
      <c r="R121" s="50" t="n">
        <v>266715365</v>
      </c>
      <c r="S121" s="50" t="n">
        <v>1095459903</v>
      </c>
      <c r="T121" s="50" t="n">
        <v>549618735</v>
      </c>
    </row>
    <row r="122">
      <c r="A122" s="49" t="n">
        <v>46023</v>
      </c>
      <c r="B122" s="50" t="n">
        <v>5507085761</v>
      </c>
      <c r="C122" s="50" t="n">
        <v>611193530</v>
      </c>
      <c r="D122" s="50" t="n">
        <v>3853716361</v>
      </c>
      <c r="E122" s="50" t="n">
        <v>808056428</v>
      </c>
      <c r="F122" s="50" t="n">
        <v>234119441</v>
      </c>
      <c r="H122" s="50" t="n">
        <v>300503613</v>
      </c>
      <c r="I122" s="50" t="n">
        <v>1963297235</v>
      </c>
      <c r="J122" s="50" t="n">
        <v>457234820</v>
      </c>
      <c r="K122" s="50" t="n">
        <v>678147230</v>
      </c>
      <c r="L122" s="50" t="n">
        <v>1278619487</v>
      </c>
      <c r="M122" s="50" t="n">
        <v>829283375</v>
      </c>
      <c r="O122" s="50" t="n">
        <v>0</v>
      </c>
      <c r="P122" s="50" t="n">
        <v>1580231634</v>
      </c>
      <c r="Q122" s="50" t="n">
        <v>370016785</v>
      </c>
      <c r="R122" s="50" t="n">
        <v>259644460</v>
      </c>
      <c r="S122" s="50" t="n">
        <v>1093480337</v>
      </c>
      <c r="T122" s="50" t="n">
        <v>550343145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23" sqref="H23"/>
    </sheetView>
  </sheetViews>
  <sheetFormatPr baseColWidth="10" defaultColWidth="8.83203125" defaultRowHeight="17"/>
  <cols>
    <col width="15.83203125" customWidth="1" style="20" min="1" max="1"/>
    <col width="26.1640625" customWidth="1" style="20" min="2" max="2"/>
    <col width="1.83203125" customWidth="1" min="3" max="3"/>
    <col width="15.83203125" customWidth="1" style="14" min="4" max="12"/>
    <col width="1.83203125" customWidth="1" style="14" min="13" max="13"/>
    <col width="15.83203125" customWidth="1" style="14" min="14" max="14"/>
    <col width="15.83203125" customWidth="1" style="51" min="15" max="15"/>
    <col width="12.33203125" bestFit="1" customWidth="1" style="17" min="16" max="16"/>
    <col width="12.6640625" bestFit="1" customWidth="1" style="13" min="17" max="17"/>
    <col width="8.33203125" customWidth="1" style="52" min="18" max="18"/>
    <col width="8.33203125" customWidth="1" style="9" min="19" max="19"/>
    <col width="8.33203125" customWidth="1" style="14" min="20" max="20"/>
    <col width="15.83203125" customWidth="1" style="14" min="21" max="21"/>
    <col width="8.83203125" customWidth="1" style="14" min="22" max="33"/>
    <col width="8.83203125" customWidth="1" style="14" min="34" max="16384"/>
  </cols>
  <sheetData>
    <row r="1">
      <c r="A1" s="13" t="inlineStr">
        <is>
          <t>Susie</t>
        </is>
      </c>
      <c r="B1" s="13" t="n"/>
      <c r="C1" s="14" t="n"/>
      <c r="D1" s="15">
        <f>D18</f>
        <v/>
      </c>
    </row>
    <row r="2">
      <c r="A2" s="13" t="inlineStr">
        <is>
          <t>D&amp;B</t>
        </is>
      </c>
      <c r="B2" s="13" t="n"/>
      <c r="D2" s="15">
        <f>D33</f>
        <v/>
      </c>
      <c r="Q2" s="14" t="n"/>
    </row>
    <row r="3">
      <c r="A3" s="13" t="inlineStr">
        <is>
          <t>Jintae</t>
        </is>
      </c>
      <c r="B3" s="13" t="n"/>
      <c r="D3" s="15">
        <f>D45</f>
        <v/>
      </c>
      <c r="Q3" s="14" t="n"/>
    </row>
    <row r="4">
      <c r="A4" s="13" t="inlineStr">
        <is>
          <t>Hyunhee</t>
        </is>
      </c>
      <c r="B4" s="13" t="n"/>
      <c r="D4" s="15">
        <f>D57</f>
        <v/>
      </c>
      <c r="Q4" s="14" t="n"/>
    </row>
    <row r="5">
      <c r="A5" s="13" t="inlineStr">
        <is>
          <t>Total</t>
        </is>
      </c>
      <c r="B5" s="13" t="n"/>
      <c r="D5" s="18">
        <f>SUM(D1:D4)</f>
        <v/>
      </c>
      <c r="E5" s="53" t="n"/>
      <c r="F5" s="53" t="n"/>
      <c r="G5" s="53" t="n"/>
      <c r="H5" s="53" t="n"/>
      <c r="I5" s="53" t="n"/>
      <c r="J5" s="53" t="n"/>
      <c r="K5" s="53" t="n"/>
      <c r="N5" s="51" t="n"/>
      <c r="O5" s="17" t="n"/>
      <c r="P5" s="14" t="n"/>
      <c r="Q5" s="14" t="n"/>
    </row>
    <row r="6">
      <c r="K6" s="54" t="n"/>
      <c r="T6" s="43" t="n">
        <v>0.2</v>
      </c>
    </row>
    <row r="7" customFormat="1" s="20">
      <c r="A7" s="20" t="inlineStr">
        <is>
          <t>Susie</t>
        </is>
      </c>
      <c r="D7" s="20" t="inlineStr">
        <is>
          <t>KRW value</t>
        </is>
      </c>
      <c r="E7" s="20" t="inlineStr">
        <is>
          <t xml:space="preserve">Stock # </t>
        </is>
      </c>
      <c r="F7" s="20" t="inlineStr">
        <is>
          <t>Upbit/케이뱅크</t>
        </is>
      </c>
      <c r="G7" s="20" t="inlineStr">
        <is>
          <t>Binance</t>
        </is>
      </c>
      <c r="H7" s="20" t="inlineStr">
        <is>
          <t>삼성종합</t>
        </is>
      </c>
      <c r="I7" s="20" t="inlineStr">
        <is>
          <t>삼성ISA</t>
        </is>
      </c>
      <c r="J7" s="20" t="inlineStr">
        <is>
          <t>삼성연금</t>
        </is>
      </c>
      <c r="K7" s="20" t="inlineStr">
        <is>
          <t>삼성CMA</t>
        </is>
      </c>
      <c r="L7" s="20" t="inlineStr">
        <is>
          <t>대여금</t>
        </is>
      </c>
      <c r="N7" s="20" t="inlineStr">
        <is>
          <t>Stock price</t>
        </is>
      </c>
      <c r="O7" s="55" t="inlineStr">
        <is>
          <t>Fiat rate</t>
        </is>
      </c>
      <c r="P7" s="23" t="n"/>
      <c r="R7" s="56" t="inlineStr">
        <is>
          <t>Guide %</t>
        </is>
      </c>
      <c r="S7" s="20" t="inlineStr">
        <is>
          <t>In conventional</t>
        </is>
      </c>
      <c r="T7" s="56" t="inlineStr">
        <is>
          <t>Actual %</t>
        </is>
      </c>
      <c r="U7" s="20" t="inlineStr">
        <is>
          <t>To rebalance</t>
        </is>
      </c>
    </row>
    <row r="8">
      <c r="A8" s="9" t="inlineStr">
        <is>
          <t>Crypto</t>
        </is>
      </c>
      <c r="B8" s="9" t="inlineStr">
        <is>
          <t>Bitcoin</t>
        </is>
      </c>
      <c r="D8" s="14">
        <f>E8*N8*O8</f>
        <v/>
      </c>
      <c r="E8" s="57">
        <f>SUM(F8:L8)</f>
        <v/>
      </c>
      <c r="F8" s="58" t="n">
        <v>0.57807519</v>
      </c>
      <c r="G8" s="58" t="n">
        <v>1.21362728</v>
      </c>
      <c r="L8" s="58" t="n"/>
      <c r="M8" s="58" t="n"/>
      <c r="N8" s="15">
        <f>Info!E33</f>
        <v/>
      </c>
      <c r="O8" s="59">
        <f>Info!E11</f>
        <v/>
      </c>
      <c r="R8" s="52">
        <f>T8</f>
        <v/>
      </c>
      <c r="T8" s="53">
        <f>D8/$D$18</f>
        <v/>
      </c>
      <c r="U8" s="14">
        <f>D$18*(R8-T8)</f>
        <v/>
      </c>
    </row>
    <row r="9">
      <c r="A9" s="9" t="inlineStr">
        <is>
          <t>Crypto</t>
        </is>
      </c>
      <c r="B9" s="9" t="inlineStr">
        <is>
          <t>Ethereum</t>
        </is>
      </c>
      <c r="D9" s="14">
        <f>E9*N9*O9</f>
        <v/>
      </c>
      <c r="E9" s="57">
        <f>SUM(F9:L9)</f>
        <v/>
      </c>
      <c r="F9" s="58" t="n">
        <v>0.7070569799999999</v>
      </c>
      <c r="G9" s="58" t="n">
        <v>0.75036428</v>
      </c>
      <c r="L9" s="58" t="n"/>
      <c r="M9" s="58" t="n"/>
      <c r="N9" s="15">
        <f>Info!E34</f>
        <v/>
      </c>
      <c r="O9" s="60">
        <f>O8</f>
        <v/>
      </c>
      <c r="R9" s="52">
        <f>T9</f>
        <v/>
      </c>
      <c r="T9" s="53">
        <f>D9/$D$18</f>
        <v/>
      </c>
      <c r="U9" s="14">
        <f>D$18*(R9-T9)</f>
        <v/>
      </c>
    </row>
    <row r="10">
      <c r="A10" s="9" t="inlineStr">
        <is>
          <t>Cash</t>
        </is>
      </c>
      <c r="B10" s="9" t="inlineStr">
        <is>
          <t>KRW</t>
        </is>
      </c>
      <c r="C10" s="14" t="n"/>
      <c r="D10" s="14">
        <f>E10*N10*O10</f>
        <v/>
      </c>
      <c r="E10" s="9">
        <f>SUM(F10:L10)</f>
        <v/>
      </c>
      <c r="F10" s="29" t="n">
        <v>2138003</v>
      </c>
      <c r="G10" s="9" t="n"/>
      <c r="H10" s="29" t="n">
        <v>3200</v>
      </c>
      <c r="I10" s="29" t="n">
        <v>24845</v>
      </c>
      <c r="J10" s="29" t="n">
        <v>5883</v>
      </c>
      <c r="K10" s="29" t="n"/>
      <c r="L10" s="29" t="n">
        <v>50000000</v>
      </c>
      <c r="M10" s="29" t="n"/>
      <c r="N10" s="14" t="n">
        <v>1</v>
      </c>
      <c r="O10" s="51" t="n">
        <v>1</v>
      </c>
      <c r="S10" s="61" t="n"/>
      <c r="T10" s="53" t="n"/>
      <c r="U10" s="14">
        <f>(R10-T10)*$D$18</f>
        <v/>
      </c>
    </row>
    <row r="11">
      <c r="A11" s="9" t="inlineStr">
        <is>
          <t>Cash</t>
        </is>
      </c>
      <c r="B11" s="9" t="inlineStr">
        <is>
          <t>TIGER CD1년금리액티브(합성)</t>
        </is>
      </c>
      <c r="C11" s="14" t="n"/>
      <c r="D11" s="14">
        <f>E11*N11*O11</f>
        <v/>
      </c>
      <c r="E11" s="9">
        <f>SUM(F11:L11)</f>
        <v/>
      </c>
      <c r="F11" s="29" t="n"/>
      <c r="G11" s="9" t="n"/>
      <c r="H11" s="29" t="n">
        <v>64</v>
      </c>
      <c r="I11" s="29" t="n"/>
      <c r="J11" s="29" t="n"/>
      <c r="K11" s="29" t="n"/>
      <c r="L11" s="29" t="n"/>
      <c r="M11" s="29" t="n"/>
      <c r="N11" s="15">
        <f>Info!E4</f>
        <v/>
      </c>
      <c r="O11" s="51" t="n">
        <v>1</v>
      </c>
      <c r="R11" s="52">
        <f>(100%-R$8-R$9)*S11</f>
        <v/>
      </c>
      <c r="S11" s="61" t="n">
        <v>0.3</v>
      </c>
      <c r="T11" s="53">
        <f>(D12+D10+D11)/$D$18</f>
        <v/>
      </c>
      <c r="U11" s="14">
        <f>(R11-T11)*$D$18</f>
        <v/>
      </c>
    </row>
    <row r="12">
      <c r="A12" s="9" t="inlineStr">
        <is>
          <t>Cash</t>
        </is>
      </c>
      <c r="B12" s="9" t="inlineStr">
        <is>
          <t>USDT</t>
        </is>
      </c>
      <c r="C12" s="14" t="n"/>
      <c r="D12" s="14">
        <f>E12*N12*O12</f>
        <v/>
      </c>
      <c r="E12" s="57">
        <f>SUM(F12:L12)</f>
        <v/>
      </c>
      <c r="F12" s="29" t="n"/>
      <c r="G12" s="58" t="n">
        <v>10.89383819</v>
      </c>
      <c r="L12" s="62" t="n"/>
      <c r="M12" s="62" t="n"/>
      <c r="N12" s="14" t="n">
        <v>1</v>
      </c>
      <c r="O12" s="51">
        <f>O8</f>
        <v/>
      </c>
      <c r="R12" s="52">
        <f>(100%-R$8-R$9)*S12</f>
        <v/>
      </c>
      <c r="S12" s="52" t="n">
        <v>0</v>
      </c>
      <c r="T12" s="53">
        <f>D12/$D$18</f>
        <v/>
      </c>
      <c r="U12" s="14">
        <f>(R12-T12)*$D$18</f>
        <v/>
      </c>
    </row>
    <row r="13">
      <c r="A13" s="9" t="inlineStr">
        <is>
          <t>Gold</t>
        </is>
      </c>
      <c r="B13" s="9" t="inlineStr">
        <is>
          <t>KINDEX KRX금현물</t>
        </is>
      </c>
      <c r="C13" s="14" t="n"/>
      <c r="D13" s="14">
        <f>E13*N13*O13</f>
        <v/>
      </c>
      <c r="E13" s="9">
        <f>SUM(F13:L13)</f>
        <v/>
      </c>
      <c r="F13" s="9" t="n"/>
      <c r="G13" s="9" t="n"/>
      <c r="H13" s="29" t="n">
        <v>1324</v>
      </c>
      <c r="I13" s="29" t="n">
        <v>1053</v>
      </c>
      <c r="J13" s="29" t="n"/>
      <c r="K13" s="29" t="n"/>
      <c r="L13" s="29" t="n"/>
      <c r="M13" s="29" t="n"/>
      <c r="N13" s="15">
        <f>Info!E13</f>
        <v/>
      </c>
      <c r="O13" s="51" t="n">
        <v>1</v>
      </c>
      <c r="Q13" s="9">
        <f>U13/N13</f>
        <v/>
      </c>
      <c r="R13" s="52">
        <f>(100%-R$8-R$9)*S13</f>
        <v/>
      </c>
      <c r="S13" s="61" t="n">
        <v>0.2</v>
      </c>
      <c r="T13" s="53">
        <f>D13/$D$18</f>
        <v/>
      </c>
      <c r="U13" s="14">
        <f>(R13-T13)*$D$18</f>
        <v/>
      </c>
    </row>
    <row r="14">
      <c r="A14" s="9" t="inlineStr">
        <is>
          <t>Kor Stock</t>
        </is>
      </c>
      <c r="B14" s="9" t="inlineStr">
        <is>
          <t>TIGER KOSDAQ150</t>
        </is>
      </c>
      <c r="C14" s="14" t="n"/>
      <c r="D14" s="14">
        <f>E14*N14*O14</f>
        <v/>
      </c>
      <c r="E14" s="9">
        <f>SUM(H14:L14)</f>
        <v/>
      </c>
      <c r="F14" s="9" t="n"/>
      <c r="G14" s="58" t="n"/>
      <c r="H14" s="29" t="n">
        <v>2029</v>
      </c>
      <c r="I14" s="29" t="n"/>
      <c r="J14" s="29" t="n"/>
      <c r="K14" s="29" t="n"/>
      <c r="L14" s="29" t="n"/>
      <c r="M14" s="29" t="n"/>
      <c r="N14" s="15">
        <f>Info!E20</f>
        <v/>
      </c>
      <c r="O14" s="51" t="n">
        <v>1</v>
      </c>
      <c r="Q14" s="9">
        <f>U14/N14</f>
        <v/>
      </c>
      <c r="R14" s="52">
        <f>(100%-R$8-R$9)*S14</f>
        <v/>
      </c>
      <c r="S14" s="52" t="n">
        <v>0.1</v>
      </c>
      <c r="T14" s="53">
        <f>D14/$D$18</f>
        <v/>
      </c>
      <c r="U14" s="14">
        <f>(R14-T14)*$D$18</f>
        <v/>
      </c>
    </row>
    <row r="15">
      <c r="A15" s="9" t="inlineStr">
        <is>
          <t>US Stock</t>
        </is>
      </c>
      <c r="B15" s="9" t="inlineStr">
        <is>
          <t>ACE 미국S&amp;P500</t>
        </is>
      </c>
      <c r="C15" s="14" t="n"/>
      <c r="D15" s="14">
        <f>E15*N15*O15</f>
        <v/>
      </c>
      <c r="E15" s="9">
        <f>SUM(F15:L15)</f>
        <v/>
      </c>
      <c r="F15" s="9" t="n"/>
      <c r="G15" s="9" t="n"/>
      <c r="H15" s="29" t="n"/>
      <c r="I15" s="29" t="n">
        <v>807</v>
      </c>
      <c r="J15" s="29" t="n"/>
      <c r="K15" s="29" t="n"/>
      <c r="L15" s="29" t="n"/>
      <c r="M15" s="29" t="n"/>
      <c r="N15" s="15">
        <f>Info!E21</f>
        <v/>
      </c>
      <c r="O15" s="51" t="n">
        <v>1</v>
      </c>
      <c r="Q15" s="9">
        <f>U15/N15</f>
        <v/>
      </c>
      <c r="R15" s="52">
        <f>(100%-R$8-R$9)*S15</f>
        <v/>
      </c>
      <c r="S15" s="52" t="n">
        <v>0.05</v>
      </c>
      <c r="T15" s="53">
        <f>D15/$D$18</f>
        <v/>
      </c>
      <c r="U15" s="14">
        <f>(R15-T15)*$D$18</f>
        <v/>
      </c>
    </row>
    <row r="16">
      <c r="A16" s="9" t="inlineStr">
        <is>
          <t>US Stock</t>
        </is>
      </c>
      <c r="B16" s="9" t="inlineStr">
        <is>
          <t>KODEX 미국나스닥100(TR)</t>
        </is>
      </c>
      <c r="C16" s="14" t="n"/>
      <c r="D16" s="14">
        <f>E16*N16*O16</f>
        <v/>
      </c>
      <c r="E16" s="9">
        <f>SUM(F16:L16)</f>
        <v/>
      </c>
      <c r="F16" s="9" t="n"/>
      <c r="G16" s="9" t="n"/>
      <c r="H16" s="29" t="n">
        <v>2425</v>
      </c>
      <c r="I16" s="29" t="n"/>
      <c r="J16" s="29" t="n">
        <v>56</v>
      </c>
      <c r="K16" s="29" t="n"/>
      <c r="L16" s="29" t="n"/>
      <c r="M16" s="29" t="n"/>
      <c r="N16" s="15">
        <f>Info!E24</f>
        <v/>
      </c>
      <c r="O16" s="51" t="n">
        <v>1</v>
      </c>
      <c r="Q16" s="9">
        <f>U16/N16</f>
        <v/>
      </c>
      <c r="R16" s="52">
        <f>(100%-R$8-R$9)*S16</f>
        <v/>
      </c>
      <c r="S16" s="52" t="n">
        <v>0.15</v>
      </c>
      <c r="T16" s="53">
        <f>D16/$D$18</f>
        <v/>
      </c>
      <c r="U16" s="14">
        <f>(R16-T16)*$D$18</f>
        <v/>
      </c>
    </row>
    <row r="17">
      <c r="A17" s="9" t="inlineStr">
        <is>
          <t>US Bonds</t>
        </is>
      </c>
      <c r="B17" s="9" t="inlineStr">
        <is>
          <t>ACE 미국장기채액티브</t>
        </is>
      </c>
      <c r="C17" s="14" t="n"/>
      <c r="D17" s="14">
        <f>E17*N17*O17</f>
        <v/>
      </c>
      <c r="E17" s="9">
        <f>SUM(F17:L17)</f>
        <v/>
      </c>
      <c r="F17" s="9" t="n"/>
      <c r="G17" s="9" t="n"/>
      <c r="H17" s="29" t="n"/>
      <c r="I17" s="29" t="n">
        <v>4418</v>
      </c>
      <c r="J17" s="29" t="n">
        <v>3578</v>
      </c>
      <c r="K17" s="29" t="n"/>
      <c r="L17" s="29" t="n"/>
      <c r="M17" s="29" t="n"/>
      <c r="N17" s="15">
        <f>Info!E15</f>
        <v/>
      </c>
      <c r="O17" s="51" t="n">
        <v>1</v>
      </c>
      <c r="Q17" s="9">
        <f>U17/N17</f>
        <v/>
      </c>
      <c r="R17" s="52">
        <f>(100%-R$8-R$9)*S17</f>
        <v/>
      </c>
      <c r="S17" s="52" t="n">
        <v>0.2</v>
      </c>
      <c r="T17" s="53">
        <f>D17/$D$18</f>
        <v/>
      </c>
      <c r="U17" s="14">
        <f>(R17-T17)*$D$18</f>
        <v/>
      </c>
    </row>
    <row r="18" customFormat="1" s="20">
      <c r="A18" s="52" t="n"/>
      <c r="B18" s="9" t="n"/>
      <c r="D18" s="20">
        <f>SUM(D8:D17)</f>
        <v/>
      </c>
      <c r="O18" s="55" t="n"/>
      <c r="P18" s="23" t="n"/>
      <c r="R18" s="56">
        <f>SUM(R8:R17)</f>
        <v/>
      </c>
      <c r="S18" s="52">
        <f>SUM(S10:S17)</f>
        <v/>
      </c>
      <c r="T18" s="53">
        <f>D18/$D$18</f>
        <v/>
      </c>
      <c r="U18" s="14" t="n"/>
    </row>
    <row r="19">
      <c r="B19" s="14" t="n"/>
      <c r="C19" s="14" t="n"/>
      <c r="I19" s="9" t="n"/>
      <c r="S19" s="20" t="n"/>
      <c r="T19" s="53" t="n"/>
    </row>
    <row r="20" customFormat="1" s="20">
      <c r="A20" s="20" t="inlineStr">
        <is>
          <t>Dirac &amp; Broglie</t>
        </is>
      </c>
      <c r="D20" s="20" t="inlineStr">
        <is>
          <t>KRW value</t>
        </is>
      </c>
      <c r="E20" s="20" t="inlineStr">
        <is>
          <t xml:space="preserve">Stock # </t>
        </is>
      </c>
      <c r="H20" s="20" t="inlineStr">
        <is>
          <t>한투종합</t>
        </is>
      </c>
      <c r="I20" s="20" t="inlineStr">
        <is>
          <t>한투CMA</t>
        </is>
      </c>
      <c r="N20" s="20" t="inlineStr">
        <is>
          <t>Stock price</t>
        </is>
      </c>
      <c r="O20" s="55" t="inlineStr">
        <is>
          <t>Fiat rate</t>
        </is>
      </c>
      <c r="P20" s="23" t="n"/>
      <c r="R20" s="56" t="inlineStr">
        <is>
          <t>Guide %</t>
        </is>
      </c>
      <c r="T20" s="56" t="inlineStr">
        <is>
          <t>Actual %</t>
        </is>
      </c>
    </row>
    <row r="21">
      <c r="A21" s="9" t="inlineStr">
        <is>
          <t>Cash</t>
        </is>
      </c>
      <c r="B21" s="9" t="inlineStr">
        <is>
          <t>KRW</t>
        </is>
      </c>
      <c r="C21" s="14" t="n"/>
      <c r="D21" s="14">
        <f>E21*N21*O21</f>
        <v/>
      </c>
      <c r="E21" s="9">
        <f>SUM(H21:L21)</f>
        <v/>
      </c>
      <c r="F21" s="9" t="n"/>
      <c r="G21" s="9" t="n"/>
      <c r="H21" s="29" t="n">
        <v>245959838</v>
      </c>
      <c r="I21" s="29" t="n">
        <v>0</v>
      </c>
      <c r="L21" s="29" t="n"/>
      <c r="M21" s="29" t="n"/>
      <c r="N21" s="14" t="n">
        <v>1</v>
      </c>
      <c r="O21" s="51" t="n">
        <v>1</v>
      </c>
    </row>
    <row r="22">
      <c r="A22" s="9" t="inlineStr">
        <is>
          <t>Cash</t>
        </is>
      </c>
      <c r="B22" s="9" t="inlineStr">
        <is>
          <t>TIGER CD1년금리액티브(합성)</t>
        </is>
      </c>
      <c r="C22" s="14" t="n"/>
      <c r="D22" s="14">
        <f>E22*N22*O22</f>
        <v/>
      </c>
      <c r="E22" s="9">
        <f>SUM(H22:L22)</f>
        <v/>
      </c>
      <c r="F22" s="9" t="n"/>
      <c r="G22" s="9" t="n"/>
      <c r="H22" s="29" t="n">
        <v>197</v>
      </c>
      <c r="I22" s="20" t="n"/>
      <c r="L22" s="29" t="n"/>
      <c r="M22" s="29" t="n"/>
      <c r="N22" s="9">
        <f>N11</f>
        <v/>
      </c>
      <c r="O22" s="51" t="n">
        <v>1</v>
      </c>
      <c r="Q22" s="9">
        <f>U22/O22/N22</f>
        <v/>
      </c>
      <c r="R22" s="63" t="n">
        <v>0.05</v>
      </c>
      <c r="S22" s="52" t="n">
        <v>0.13</v>
      </c>
      <c r="T22" s="53">
        <f>(D21+D22)/$D$33</f>
        <v/>
      </c>
      <c r="U22" s="14">
        <f>$D$33*(R22-T22)</f>
        <v/>
      </c>
    </row>
    <row r="23">
      <c r="A23" s="9" t="inlineStr">
        <is>
          <t>Cash</t>
        </is>
      </c>
      <c r="B23" s="9" t="inlineStr">
        <is>
          <t>USD</t>
        </is>
      </c>
      <c r="C23" s="14" t="n"/>
      <c r="D23" s="14">
        <f>E23*N23*O23</f>
        <v/>
      </c>
      <c r="E23" s="9">
        <f>SUM(H23:L23)</f>
        <v/>
      </c>
      <c r="F23" s="9" t="n"/>
      <c r="G23" s="9" t="n"/>
      <c r="H23" s="29" t="n">
        <v>317</v>
      </c>
      <c r="I23" s="29" t="n"/>
      <c r="L23" s="29" t="n"/>
      <c r="M23" s="29" t="n"/>
      <c r="N23" s="14" t="n">
        <v>1</v>
      </c>
      <c r="O23" s="59">
        <f>Info!E12</f>
        <v/>
      </c>
      <c r="Q23" s="9" t="n"/>
      <c r="U23" s="14">
        <f>$D$33*(R23-T23)</f>
        <v/>
      </c>
    </row>
    <row r="24">
      <c r="A24" s="9" t="inlineStr">
        <is>
          <t>Cash</t>
        </is>
      </c>
      <c r="B24" s="9" t="inlineStr">
        <is>
          <t>STRC</t>
        </is>
      </c>
      <c r="D24" s="14">
        <f>E24*N24*O24</f>
        <v/>
      </c>
      <c r="E24" s="14">
        <f>SUM(H24:L24)</f>
        <v/>
      </c>
      <c r="H24" s="29" t="n">
        <v>8434</v>
      </c>
      <c r="N24" s="59">
        <f>Info!E8</f>
        <v/>
      </c>
      <c r="O24" s="51">
        <f>O23</f>
        <v/>
      </c>
      <c r="Q24" s="9">
        <f>U24/O24/N24</f>
        <v/>
      </c>
      <c r="R24" s="63" t="n">
        <v>0.35</v>
      </c>
      <c r="S24" s="52" t="n">
        <v>0.22</v>
      </c>
      <c r="T24" s="53">
        <f>SUM(D23,D24)/D33</f>
        <v/>
      </c>
      <c r="U24" s="14">
        <f>$D$33*(R24-T24)</f>
        <v/>
      </c>
    </row>
    <row r="25">
      <c r="A25" s="9" t="inlineStr">
        <is>
          <t>Gold</t>
        </is>
      </c>
      <c r="B25" s="9" t="inlineStr">
        <is>
          <t>KINDEX KRX금현물</t>
        </is>
      </c>
      <c r="C25" s="14" t="n"/>
      <c r="D25" s="14">
        <f>E25*N25*O25</f>
        <v/>
      </c>
      <c r="E25" s="9">
        <f>SUM(H25:L25)</f>
        <v/>
      </c>
      <c r="F25" s="9" t="n"/>
      <c r="G25" s="9" t="n"/>
      <c r="H25" s="29" t="n">
        <v>12757</v>
      </c>
      <c r="I25" s="29" t="n"/>
      <c r="J25" s="29" t="n"/>
      <c r="K25" s="29" t="n"/>
      <c r="L25" s="29" t="n"/>
      <c r="M25" s="29" t="n"/>
      <c r="N25" s="9">
        <f>N13</f>
        <v/>
      </c>
      <c r="O25" s="51" t="n">
        <v>1</v>
      </c>
      <c r="Q25" s="9">
        <f>U25/O25/N25</f>
        <v/>
      </c>
      <c r="R25" s="52">
        <f>S25*(100%-$R$22-$R$24)/(100%-$S$22-$S$24)</f>
        <v/>
      </c>
      <c r="S25" s="52" t="n">
        <v>0.1</v>
      </c>
      <c r="T25" s="53">
        <f>D25/$D$33</f>
        <v/>
      </c>
      <c r="U25" s="14">
        <f>$D$33*(R25-T25)</f>
        <v/>
      </c>
    </row>
    <row r="26">
      <c r="A26" s="9" t="inlineStr">
        <is>
          <t>Kor Stock</t>
        </is>
      </c>
      <c r="B26" s="9" t="inlineStr">
        <is>
          <t>KBSTAR 200 Total Return</t>
        </is>
      </c>
      <c r="C26" s="14" t="n"/>
      <c r="D26" s="14">
        <f>E26*N26*O26</f>
        <v/>
      </c>
      <c r="E26" s="9">
        <f>SUM(H26:L26)</f>
        <v/>
      </c>
      <c r="F26" s="9" t="n"/>
      <c r="G26" s="9" t="n"/>
      <c r="H26" s="29" t="n">
        <v>3428</v>
      </c>
      <c r="I26" s="29" t="n"/>
      <c r="J26" s="29" t="n"/>
      <c r="K26" s="29" t="n"/>
      <c r="L26" s="29" t="n"/>
      <c r="M26" s="29" t="n"/>
      <c r="N26" s="33">
        <f>Info!E22</f>
        <v/>
      </c>
      <c r="O26" s="51" t="n">
        <v>1</v>
      </c>
      <c r="Q26" s="9">
        <f>U26/O26/N26</f>
        <v/>
      </c>
      <c r="R26" s="52">
        <f>S26*(100%-$R$22-$R$24)/(100%-$S$22-$S$24)</f>
        <v/>
      </c>
      <c r="S26" s="52" t="n">
        <v>0.05</v>
      </c>
      <c r="T26" s="53">
        <f>D26/$D$33</f>
        <v/>
      </c>
      <c r="U26" s="14">
        <f>$D$33*(R26-T26)</f>
        <v/>
      </c>
    </row>
    <row r="27">
      <c r="A27" s="9" t="inlineStr">
        <is>
          <t>Kor Stock</t>
        </is>
      </c>
      <c r="B27" s="9" t="inlineStr">
        <is>
          <t>TIGER KOSDAQ150</t>
        </is>
      </c>
      <c r="C27" s="14" t="n"/>
      <c r="D27" s="14">
        <f>E27*N27*O27</f>
        <v/>
      </c>
      <c r="E27" s="9">
        <f>SUM(H27:L27)</f>
        <v/>
      </c>
      <c r="F27" s="9" t="n"/>
      <c r="G27" s="9" t="n"/>
      <c r="H27" s="29" t="n">
        <v>7050</v>
      </c>
      <c r="I27" s="29" t="n"/>
      <c r="J27" s="29" t="n"/>
      <c r="K27" s="29" t="n"/>
      <c r="L27" s="29" t="n"/>
      <c r="M27" s="29" t="n"/>
      <c r="N27" s="9">
        <f>N14</f>
        <v/>
      </c>
      <c r="O27" s="51" t="n">
        <v>1</v>
      </c>
      <c r="Q27" s="9">
        <f>U27/O27/N27</f>
        <v/>
      </c>
      <c r="R27" s="52">
        <f>S27*(100%-$R$22-$R$24)/(100%-$S$22-$S$24)</f>
        <v/>
      </c>
      <c r="S27" s="52" t="n">
        <v>0.05</v>
      </c>
      <c r="T27" s="53">
        <f>(D27+D28)/$D$33</f>
        <v/>
      </c>
      <c r="U27" s="14">
        <f>$D$33*(R27-T27)</f>
        <v/>
      </c>
    </row>
    <row r="28">
      <c r="A28" s="9" t="inlineStr">
        <is>
          <t>Kor Stock</t>
        </is>
      </c>
      <c r="B28" s="9" t="inlineStr">
        <is>
          <t>KoAct 코스닥액티브</t>
        </is>
      </c>
      <c r="C28" s="14" t="n"/>
      <c r="D28" s="14">
        <f>E28*N28*O28</f>
        <v/>
      </c>
      <c r="E28" s="9">
        <f>SUM(H28:L28)</f>
        <v/>
      </c>
      <c r="F28" s="9" t="n"/>
      <c r="G28" s="9" t="n"/>
      <c r="H28" s="29" t="n">
        <v>3500</v>
      </c>
      <c r="I28" s="29" t="n"/>
      <c r="J28" s="29" t="n"/>
      <c r="K28" s="29" t="n"/>
      <c r="L28" s="29" t="n"/>
      <c r="M28" s="29" t="n"/>
      <c r="N28" s="40">
        <f>Info!E27</f>
        <v/>
      </c>
      <c r="O28" s="51" t="n">
        <v>1</v>
      </c>
      <c r="Q28" s="9" t="n"/>
      <c r="S28" s="52" t="n"/>
    </row>
    <row r="29">
      <c r="A29" s="9" t="inlineStr">
        <is>
          <t>US Stock</t>
        </is>
      </c>
      <c r="B29" s="9" t="inlineStr">
        <is>
          <t>QQQM</t>
        </is>
      </c>
      <c r="C29" s="14" t="n"/>
      <c r="D29" s="14">
        <f>E29*N29*O29</f>
        <v/>
      </c>
      <c r="E29" s="9">
        <f>SUM(H29:L29)</f>
        <v/>
      </c>
      <c r="F29" s="9" t="n"/>
      <c r="G29" s="9" t="n"/>
      <c r="H29" s="29" t="n">
        <v>1996</v>
      </c>
      <c r="I29" s="29" t="n"/>
      <c r="J29" s="29" t="n"/>
      <c r="K29" s="29" t="n"/>
      <c r="L29" s="29" t="n"/>
      <c r="M29" s="29" t="n"/>
      <c r="N29" s="59">
        <f>Info!E28</f>
        <v/>
      </c>
      <c r="O29" s="51">
        <f>O23</f>
        <v/>
      </c>
      <c r="Q29" s="9">
        <f>U29/O29/N29</f>
        <v/>
      </c>
      <c r="R29" s="52">
        <f>S29*(100%-$R$22-$R$24)/(100%-$S$22-$S$24)</f>
        <v/>
      </c>
      <c r="S29" s="52" t="n">
        <v>0.2</v>
      </c>
      <c r="T29" s="53">
        <f>D29/$D$33</f>
        <v/>
      </c>
      <c r="U29" s="14">
        <f>$D$33*(R29-T29)</f>
        <v/>
      </c>
    </row>
    <row r="30">
      <c r="A30" s="9" t="inlineStr">
        <is>
          <t>US Stock</t>
        </is>
      </c>
      <c r="B30" s="9" t="inlineStr">
        <is>
          <t>SCHD</t>
        </is>
      </c>
      <c r="C30" s="14" t="n"/>
      <c r="D30" s="14">
        <f>E30*N30*O30</f>
        <v/>
      </c>
      <c r="E30" s="9">
        <f>SUM(H30:L30)</f>
        <v/>
      </c>
      <c r="F30" s="9" t="n"/>
      <c r="G30" s="9" t="n"/>
      <c r="H30" s="29" t="n">
        <v>8342</v>
      </c>
      <c r="I30" s="29" t="n"/>
      <c r="J30" s="29" t="n"/>
      <c r="K30" s="29" t="n"/>
      <c r="L30" s="29" t="n"/>
      <c r="M30" s="29" t="n"/>
      <c r="N30" s="59">
        <f>Info!E29</f>
        <v/>
      </c>
      <c r="O30" s="51">
        <f>O23</f>
        <v/>
      </c>
      <c r="Q30" s="9">
        <f>U30/O30/N30</f>
        <v/>
      </c>
      <c r="R30" s="52">
        <f>S30*(100%-$R$22-$R$24)/(100%-$S$22-$S$24)</f>
        <v/>
      </c>
      <c r="S30" s="52" t="n">
        <v>0.1</v>
      </c>
      <c r="T30" s="53">
        <f>D30/$D$33</f>
        <v/>
      </c>
      <c r="U30" s="14">
        <f>$D$33*(R30-T30)</f>
        <v/>
      </c>
    </row>
    <row r="31">
      <c r="A31" s="9" t="inlineStr">
        <is>
          <t>US Bonds</t>
        </is>
      </c>
      <c r="B31" s="9" t="inlineStr">
        <is>
          <t>VTIP</t>
        </is>
      </c>
      <c r="C31" s="14" t="n"/>
      <c r="D31" s="14">
        <f>E31*N31*O31</f>
        <v/>
      </c>
      <c r="E31" s="9">
        <f>SUM(H31:L31)</f>
        <v/>
      </c>
      <c r="F31" s="9" t="n"/>
      <c r="G31" s="9" t="n"/>
      <c r="H31" s="29" t="n">
        <v>3580</v>
      </c>
      <c r="I31" s="29" t="n"/>
      <c r="J31" s="29" t="n"/>
      <c r="K31" s="29" t="n"/>
      <c r="L31" s="29" t="n"/>
      <c r="M31" s="29" t="n"/>
      <c r="N31" s="59">
        <f>Info!E18</f>
        <v/>
      </c>
      <c r="O31" s="51">
        <f>O23</f>
        <v/>
      </c>
      <c r="Q31" s="9">
        <f>U31/O31/N31</f>
        <v/>
      </c>
      <c r="R31" s="52">
        <f>S31*(100%-$R$22-$R$24)/(100%-$S$22-$S$24)</f>
        <v/>
      </c>
      <c r="S31" s="52" t="n">
        <v>0.07000000000000001</v>
      </c>
      <c r="T31" s="53">
        <f>D31/$D$33</f>
        <v/>
      </c>
      <c r="U31" s="14">
        <f>$D$33*(R31-T31)</f>
        <v/>
      </c>
    </row>
    <row r="32">
      <c r="A32" s="9" t="inlineStr">
        <is>
          <t>US Bonds</t>
        </is>
      </c>
      <c r="B32" s="9" t="inlineStr">
        <is>
          <t>VGLT</t>
        </is>
      </c>
      <c r="C32" s="14" t="n"/>
      <c r="D32" s="14">
        <f>E32*N32*O32</f>
        <v/>
      </c>
      <c r="E32" s="9">
        <f>SUM(H32:L32)</f>
        <v/>
      </c>
      <c r="F32" s="9" t="n"/>
      <c r="G32" s="9" t="n"/>
      <c r="H32" s="29" t="n">
        <v>3663</v>
      </c>
      <c r="I32" s="29" t="n"/>
      <c r="J32" s="29" t="n"/>
      <c r="K32" s="29" t="n"/>
      <c r="L32" s="29" t="n"/>
      <c r="M32" s="29" t="n"/>
      <c r="N32" s="59">
        <f>Info!E17</f>
        <v/>
      </c>
      <c r="O32" s="51">
        <f>O23</f>
        <v/>
      </c>
      <c r="Q32" s="9">
        <f>U32/O32/N32</f>
        <v/>
      </c>
      <c r="R32" s="52">
        <f>S32*(100%-$R$22-$R$24)/(100%-$S$22-$S$24)</f>
        <v/>
      </c>
      <c r="S32" s="52" t="n">
        <v>0.08</v>
      </c>
      <c r="T32" s="53">
        <f>D32/$D$33</f>
        <v/>
      </c>
      <c r="U32" s="14">
        <f>$D$33*(R32-T32)</f>
        <v/>
      </c>
    </row>
    <row r="33" customFormat="1" s="20">
      <c r="D33" s="20">
        <f>SUM(D21:D32)</f>
        <v/>
      </c>
      <c r="J33" s="34" t="n"/>
      <c r="O33" s="51" t="n"/>
      <c r="P33" s="23" t="n"/>
      <c r="R33" s="56">
        <f>SUM(R21:R32)</f>
        <v/>
      </c>
      <c r="S33" s="53">
        <f>SUM(S21:S32)</f>
        <v/>
      </c>
      <c r="T33" s="53">
        <f>SUM(T21:T32)</f>
        <v/>
      </c>
      <c r="U33" s="14" t="n"/>
    </row>
    <row r="34" customFormat="1" s="20">
      <c r="D34" s="23" t="n"/>
      <c r="J34" s="34" t="n"/>
      <c r="O34" s="55" t="n"/>
      <c r="P34" s="23" t="n"/>
      <c r="R34" s="56" t="n"/>
      <c r="T34" s="53" t="n"/>
      <c r="U34" s="14" t="n"/>
    </row>
    <row r="35" customFormat="1" s="20">
      <c r="A35" s="20" t="inlineStr">
        <is>
          <t>Jintae</t>
        </is>
      </c>
      <c r="D35" s="20" t="inlineStr">
        <is>
          <t>KRW value</t>
        </is>
      </c>
      <c r="E35" s="20" t="inlineStr">
        <is>
          <t xml:space="preserve">Stock # </t>
        </is>
      </c>
      <c r="F35" s="20" t="inlineStr">
        <is>
          <t>Upbit</t>
        </is>
      </c>
      <c r="G35" s="20" t="inlineStr">
        <is>
          <t>Binance</t>
        </is>
      </c>
      <c r="H35" s="20" t="inlineStr">
        <is>
          <t>삼성종합</t>
        </is>
      </c>
      <c r="I35" s="20" t="inlineStr">
        <is>
          <t>삼성ISA</t>
        </is>
      </c>
      <c r="J35" s="20" t="inlineStr">
        <is>
          <t>삼성CMA</t>
        </is>
      </c>
      <c r="K35" s="20" t="inlineStr">
        <is>
          <t>미래연금</t>
        </is>
      </c>
      <c r="L35" s="20" t="inlineStr">
        <is>
          <t>미래IRP</t>
        </is>
      </c>
      <c r="N35" s="20" t="inlineStr">
        <is>
          <t>Stock price</t>
        </is>
      </c>
      <c r="O35" s="55" t="inlineStr">
        <is>
          <t>Fiat rate</t>
        </is>
      </c>
      <c r="P35" s="23" t="n"/>
      <c r="R35" s="56" t="inlineStr">
        <is>
          <t>Guide %</t>
        </is>
      </c>
      <c r="T35" s="56" t="inlineStr">
        <is>
          <t>Actual %</t>
        </is>
      </c>
    </row>
    <row r="36">
      <c r="A36" s="9" t="inlineStr">
        <is>
          <t>Crypto</t>
        </is>
      </c>
      <c r="B36" s="9" t="inlineStr">
        <is>
          <t>Bitcoin</t>
        </is>
      </c>
      <c r="C36" s="14" t="n"/>
      <c r="D36" s="14">
        <f>E36*N36*O36</f>
        <v/>
      </c>
      <c r="E36" s="57">
        <f>SUM(F36:L36)</f>
        <v/>
      </c>
      <c r="F36" s="58" t="n">
        <v>0.16849539</v>
      </c>
      <c r="G36" s="58" t="n">
        <v>0.10870189</v>
      </c>
      <c r="L36" s="58" t="n"/>
      <c r="M36" s="58" t="n"/>
      <c r="N36" s="9">
        <f>N8</f>
        <v/>
      </c>
      <c r="O36" s="51">
        <f>O8</f>
        <v/>
      </c>
      <c r="R36" s="52">
        <f>T36</f>
        <v/>
      </c>
      <c r="T36" s="53">
        <f>D36/$D$45</f>
        <v/>
      </c>
      <c r="U36" s="14">
        <f>(R36-T36)*$D$45</f>
        <v/>
      </c>
    </row>
    <row r="37">
      <c r="A37" s="9" t="inlineStr">
        <is>
          <t>Crypto</t>
        </is>
      </c>
      <c r="B37" s="9" t="inlineStr">
        <is>
          <t>Ethereum</t>
        </is>
      </c>
      <c r="C37" s="14" t="n"/>
      <c r="D37" s="14">
        <f>E37*N37*O37</f>
        <v/>
      </c>
      <c r="E37" s="57">
        <f>SUM(F37:L37)</f>
        <v/>
      </c>
      <c r="F37" s="58" t="n">
        <v>2.57881205</v>
      </c>
      <c r="G37" s="58" t="n">
        <v>0.79480734</v>
      </c>
      <c r="L37" s="58" t="n"/>
      <c r="M37" s="58" t="n"/>
      <c r="N37" s="9">
        <f>N9</f>
        <v/>
      </c>
      <c r="O37" s="51">
        <f>O8</f>
        <v/>
      </c>
      <c r="R37" s="52">
        <f>T37</f>
        <v/>
      </c>
      <c r="T37" s="53">
        <f>D37/$D$45</f>
        <v/>
      </c>
      <c r="U37" s="14">
        <f>(R37-T37)*$D$45</f>
        <v/>
      </c>
    </row>
    <row r="38">
      <c r="A38" s="9" t="inlineStr">
        <is>
          <t>Cash</t>
        </is>
      </c>
      <c r="B38" s="9" t="inlineStr">
        <is>
          <t>KODEX KOFR금리액티브(합성)</t>
        </is>
      </c>
      <c r="C38" s="14" t="n"/>
      <c r="D38" s="14">
        <f>E38*N38*O38</f>
        <v/>
      </c>
      <c r="E38" s="9">
        <f>SUM(F38:L38)</f>
        <v/>
      </c>
      <c r="F38" s="58" t="n"/>
      <c r="G38" s="58" t="n"/>
      <c r="K38" s="29" t="n">
        <v>354</v>
      </c>
      <c r="L38" s="29" t="n">
        <v>973</v>
      </c>
      <c r="M38" s="58" t="n"/>
      <c r="N38" s="33">
        <f>Info!E2</f>
        <v/>
      </c>
      <c r="O38" s="51" t="n">
        <v>1</v>
      </c>
    </row>
    <row r="39">
      <c r="A39" s="9" t="inlineStr">
        <is>
          <t>Cash</t>
        </is>
      </c>
      <c r="B39" s="9" t="inlineStr">
        <is>
          <t>TIGER MSCI US 리츠(합성H)</t>
        </is>
      </c>
      <c r="C39" s="14" t="n"/>
      <c r="D39" s="14">
        <f>E39*N39*O39</f>
        <v/>
      </c>
      <c r="E39" s="9">
        <f>SUM(F39:L39)</f>
        <v/>
      </c>
      <c r="F39" s="9" t="n"/>
      <c r="G39" s="9" t="n"/>
      <c r="H39" s="29" t="n">
        <v>4095</v>
      </c>
      <c r="I39" s="29" t="n"/>
      <c r="J39" s="29" t="n"/>
      <c r="K39" s="29" t="n"/>
      <c r="L39" s="29" t="n"/>
      <c r="M39" s="29" t="n"/>
      <c r="N39" s="15">
        <f>Info!E19</f>
        <v/>
      </c>
      <c r="O39" s="51" t="n">
        <v>1</v>
      </c>
      <c r="Q39" s="52" t="n"/>
      <c r="S39" s="61" t="n"/>
    </row>
    <row r="40">
      <c r="A40" s="9" t="inlineStr">
        <is>
          <t>Cash</t>
        </is>
      </c>
      <c r="B40" s="9" t="inlineStr">
        <is>
          <t>KRW</t>
        </is>
      </c>
      <c r="C40" s="14" t="n"/>
      <c r="D40" s="14">
        <f>E40*N40*O40</f>
        <v/>
      </c>
      <c r="E40" s="9">
        <f>SUM(F40:L40)</f>
        <v/>
      </c>
      <c r="F40" s="29" t="n"/>
      <c r="G40" s="9" t="n"/>
      <c r="H40" s="29" t="n">
        <v>0</v>
      </c>
      <c r="I40" s="29" t="n">
        <v>1721690</v>
      </c>
      <c r="J40" s="29" t="n">
        <v>0</v>
      </c>
      <c r="K40" s="29" t="n">
        <v>17077</v>
      </c>
      <c r="L40" s="29" t="n">
        <v>1596</v>
      </c>
      <c r="M40" s="29" t="n"/>
      <c r="N40" s="14" t="n">
        <v>1</v>
      </c>
      <c r="O40" s="51" t="n">
        <v>1</v>
      </c>
      <c r="R40" s="52">
        <f>(100%-R$36-R$37)*S40</f>
        <v/>
      </c>
      <c r="S40" s="61" t="n">
        <v>0.25</v>
      </c>
      <c r="T40" s="53">
        <f>(D38+D40+D39)/$D$45</f>
        <v/>
      </c>
      <c r="U40" s="14">
        <f>(R40-T40)*$D$45</f>
        <v/>
      </c>
    </row>
    <row r="41">
      <c r="A41" s="9" t="inlineStr">
        <is>
          <t>Kor Stock</t>
        </is>
      </c>
      <c r="B41" s="9" t="inlineStr">
        <is>
          <t>유비케어</t>
        </is>
      </c>
      <c r="C41" s="14" t="n"/>
      <c r="D41" s="14">
        <f>E41*N41*O41</f>
        <v/>
      </c>
      <c r="E41" s="9">
        <f>SUM(F41:L41)</f>
        <v/>
      </c>
      <c r="F41" s="9" t="n"/>
      <c r="G41" s="58" t="n"/>
      <c r="H41" s="29">
        <f>64909+14365</f>
        <v/>
      </c>
      <c r="I41" s="29" t="n">
        <v>22305</v>
      </c>
      <c r="J41" s="29" t="n"/>
      <c r="K41" s="29" t="n"/>
      <c r="L41" s="29" t="n"/>
      <c r="M41" s="29" t="n"/>
      <c r="N41" s="15">
        <f>Info!E26</f>
        <v/>
      </c>
      <c r="O41" s="51" t="n">
        <v>1</v>
      </c>
      <c r="Q41" s="9">
        <f>U41/N41/O41</f>
        <v/>
      </c>
      <c r="R41" s="52">
        <f>(100%-R$36-R$37)*S41</f>
        <v/>
      </c>
      <c r="S41" s="61" t="n">
        <v>0.5</v>
      </c>
      <c r="T41" s="53">
        <f>D41/$D$45</f>
        <v/>
      </c>
      <c r="U41" s="14">
        <f>(R41-T41)*$D$45</f>
        <v/>
      </c>
    </row>
    <row r="42">
      <c r="A42" s="9" t="inlineStr">
        <is>
          <t>US Stock</t>
        </is>
      </c>
      <c r="B42" s="9" t="inlineStr">
        <is>
          <t>KODEX 미국나스닥100(TR)</t>
        </is>
      </c>
      <c r="C42" s="14" t="n"/>
      <c r="D42" s="14">
        <f>E42*N42*O42</f>
        <v/>
      </c>
      <c r="E42" s="9">
        <f>SUM(F42:L42)</f>
        <v/>
      </c>
      <c r="F42" s="9" t="n"/>
      <c r="G42" s="9" t="n"/>
      <c r="H42" s="29" t="n"/>
      <c r="I42" s="29" t="n"/>
      <c r="J42" s="29" t="n"/>
      <c r="K42" s="29" t="n">
        <v>1656</v>
      </c>
      <c r="L42" s="29" t="n"/>
      <c r="M42" s="29" t="n"/>
      <c r="N42" s="9">
        <f>N16</f>
        <v/>
      </c>
      <c r="O42" s="51" t="n">
        <v>1</v>
      </c>
      <c r="Q42" s="9">
        <f>U42/N42/O42</f>
        <v/>
      </c>
      <c r="R42" s="52">
        <f>(100%-R$36-R$37)*S42</f>
        <v/>
      </c>
      <c r="S42" s="61" t="n">
        <v>0.05</v>
      </c>
      <c r="T42" s="53">
        <f>D42/$D$45</f>
        <v/>
      </c>
      <c r="U42" s="14">
        <f>(R42-T42)*$D$45</f>
        <v/>
      </c>
    </row>
    <row r="43">
      <c r="A43" s="9" t="inlineStr">
        <is>
          <t>US Bonds</t>
        </is>
      </c>
      <c r="B43" s="9" t="inlineStr">
        <is>
          <t>KINDEX S&amp;P500 3070 Blend</t>
        </is>
      </c>
      <c r="C43" s="14" t="n"/>
      <c r="D43" s="14">
        <f>E43*N43*O43</f>
        <v/>
      </c>
      <c r="E43" s="9">
        <f>SUM(F43:L43)</f>
        <v/>
      </c>
      <c r="F43" s="9" t="n"/>
      <c r="G43" s="9" t="n"/>
      <c r="H43" s="29" t="n"/>
      <c r="I43" s="29" t="n"/>
      <c r="J43" s="29" t="n"/>
      <c r="K43" s="29" t="n"/>
      <c r="L43" s="29" t="n">
        <v>5600</v>
      </c>
      <c r="M43" s="29" t="n"/>
      <c r="N43" s="15">
        <f>Info!E25</f>
        <v/>
      </c>
      <c r="O43" s="51" t="n">
        <v>1</v>
      </c>
      <c r="S43" s="61" t="n"/>
    </row>
    <row r="44">
      <c r="A44" s="9" t="inlineStr">
        <is>
          <t>US Bonds</t>
        </is>
      </c>
      <c r="B44" s="9" t="inlineStr">
        <is>
          <t>ACE 미국장기채액티브</t>
        </is>
      </c>
      <c r="C44" s="14" t="n"/>
      <c r="D44" s="14">
        <f>E44*N44*O44</f>
        <v/>
      </c>
      <c r="E44" s="9">
        <f>SUM(F44:L44)</f>
        <v/>
      </c>
      <c r="F44" s="9" t="n"/>
      <c r="G44" s="9" t="n"/>
      <c r="H44" s="29" t="n"/>
      <c r="I44" s="29" t="n"/>
      <c r="J44" s="29" t="n"/>
      <c r="K44" s="29" t="n"/>
      <c r="L44" s="29" t="n">
        <v>8204</v>
      </c>
      <c r="M44" s="29" t="n"/>
      <c r="N44" s="9">
        <f>N17</f>
        <v/>
      </c>
      <c r="O44" s="51" t="n">
        <v>1</v>
      </c>
      <c r="Q44" s="9">
        <f>U44/N44/O44</f>
        <v/>
      </c>
      <c r="R44" s="52">
        <f>(100%-R$36-R$37)*S44</f>
        <v/>
      </c>
      <c r="S44" s="61" t="n">
        <v>0.2</v>
      </c>
      <c r="T44" s="53">
        <f>(D43+D44)/$D$45</f>
        <v/>
      </c>
      <c r="U44" s="14">
        <f>(R44-T44)*$D$45</f>
        <v/>
      </c>
    </row>
    <row r="45" customFormat="1" s="20">
      <c r="D45" s="20">
        <f>SUM(D36:D44)</f>
        <v/>
      </c>
      <c r="J45" s="34" t="n"/>
      <c r="O45" s="55" t="n"/>
      <c r="P45" s="23" t="n"/>
      <c r="R45" s="56">
        <f>SUM(R36:R44)</f>
        <v/>
      </c>
      <c r="S45" s="64">
        <f>SUM(S40:S44)</f>
        <v/>
      </c>
      <c r="T45" s="53">
        <f>D45/$D$45</f>
        <v/>
      </c>
      <c r="U45" s="14" t="n"/>
    </row>
    <row r="46">
      <c r="C46" s="14" t="n"/>
      <c r="T46" s="20" t="n"/>
      <c r="U46" s="20" t="n"/>
    </row>
    <row r="47" customFormat="1" s="20">
      <c r="A47" s="20" t="inlineStr">
        <is>
          <t>Hyunhee</t>
        </is>
      </c>
      <c r="D47" s="20" t="inlineStr">
        <is>
          <t>KRW value</t>
        </is>
      </c>
      <c r="E47" s="20" t="inlineStr">
        <is>
          <t xml:space="preserve">Stock # </t>
        </is>
      </c>
      <c r="F47" s="20" t="inlineStr">
        <is>
          <t>Upbit</t>
        </is>
      </c>
      <c r="G47" s="20" t="inlineStr">
        <is>
          <t>Binance</t>
        </is>
      </c>
      <c r="H47" s="20" t="inlineStr">
        <is>
          <t>삼성종합</t>
        </is>
      </c>
      <c r="I47" s="20" t="inlineStr">
        <is>
          <t>삼성ISA</t>
        </is>
      </c>
      <c r="J47" s="20" t="inlineStr">
        <is>
          <t>삼성연금</t>
        </is>
      </c>
      <c r="K47" s="20" t="inlineStr">
        <is>
          <t>삼성CMA</t>
        </is>
      </c>
      <c r="N47" s="20" t="inlineStr">
        <is>
          <t>Stock price</t>
        </is>
      </c>
      <c r="O47" s="55" t="inlineStr">
        <is>
          <t>Fiat rate</t>
        </is>
      </c>
      <c r="P47" s="23" t="n"/>
      <c r="R47" s="56" t="inlineStr">
        <is>
          <t>Guide %</t>
        </is>
      </c>
      <c r="T47" s="56" t="inlineStr">
        <is>
          <t>Actual %</t>
        </is>
      </c>
    </row>
    <row r="48">
      <c r="A48" s="9" t="inlineStr">
        <is>
          <t>Crypto</t>
        </is>
      </c>
      <c r="B48" s="9" t="inlineStr">
        <is>
          <t>Bitcoin</t>
        </is>
      </c>
      <c r="C48" s="14" t="n"/>
      <c r="D48" s="14">
        <f>E48*N48*O48</f>
        <v/>
      </c>
      <c r="E48" s="57">
        <f>SUM(F48:L48)</f>
        <v/>
      </c>
      <c r="F48" s="58" t="n">
        <v>0.09384557</v>
      </c>
      <c r="G48" s="58" t="n">
        <v>0.09537072000000001</v>
      </c>
      <c r="L48" s="58" t="n"/>
      <c r="M48" s="58" t="n"/>
      <c r="N48" s="9">
        <f>N8</f>
        <v/>
      </c>
      <c r="O48" s="51">
        <f>O37</f>
        <v/>
      </c>
      <c r="R48" s="52">
        <f>T48</f>
        <v/>
      </c>
      <c r="T48" s="53">
        <f>D48/($D$57)</f>
        <v/>
      </c>
      <c r="U48" s="14">
        <f>$D$57*(R48-T48)</f>
        <v/>
      </c>
    </row>
    <row r="49">
      <c r="A49" s="9" t="inlineStr">
        <is>
          <t>Crypto</t>
        </is>
      </c>
      <c r="B49" s="9" t="inlineStr">
        <is>
          <t>Ethereum</t>
        </is>
      </c>
      <c r="C49" s="14" t="n"/>
      <c r="D49" s="14">
        <f>E49*N49*O49</f>
        <v/>
      </c>
      <c r="E49" s="57">
        <f>SUM(F49:L49)</f>
        <v/>
      </c>
      <c r="F49" s="58" t="n">
        <v>0.72319674</v>
      </c>
      <c r="G49" s="58" t="n">
        <v>0.70515149</v>
      </c>
      <c r="L49" s="58" t="n"/>
      <c r="M49" s="58" t="n"/>
      <c r="N49" s="9">
        <f>N37</f>
        <v/>
      </c>
      <c r="O49" s="51">
        <f>O37</f>
        <v/>
      </c>
      <c r="R49" s="52">
        <f>T49</f>
        <v/>
      </c>
      <c r="T49" s="53">
        <f>D49/($D$57)</f>
        <v/>
      </c>
      <c r="U49" s="14">
        <f>$D$57*(R49-T49)</f>
        <v/>
      </c>
    </row>
    <row r="50">
      <c r="A50" s="9" t="inlineStr">
        <is>
          <t>Cash</t>
        </is>
      </c>
      <c r="B50" s="9" t="inlineStr">
        <is>
          <t>TIGER MSCI US 리츠(합성H)</t>
        </is>
      </c>
      <c r="C50" s="14" t="n"/>
      <c r="D50" s="14">
        <f>E50*N50*O50</f>
        <v/>
      </c>
      <c r="E50" s="9">
        <f>SUM(F50:L50)</f>
        <v/>
      </c>
      <c r="F50" s="9" t="n"/>
      <c r="G50" s="9" t="n"/>
      <c r="H50" s="29" t="n">
        <v>4118</v>
      </c>
      <c r="I50" s="29" t="n"/>
      <c r="J50" s="29" t="n"/>
      <c r="K50" s="29" t="n"/>
      <c r="L50" s="29" t="n"/>
      <c r="M50" s="29" t="n"/>
      <c r="N50" s="9">
        <f>N43</f>
        <v/>
      </c>
      <c r="O50" s="51" t="n">
        <v>1</v>
      </c>
      <c r="S50" s="36" t="n"/>
      <c r="T50" s="53" t="n"/>
    </row>
    <row r="51">
      <c r="A51" s="9" t="inlineStr">
        <is>
          <t>Cash</t>
        </is>
      </c>
      <c r="B51" s="9" t="inlineStr">
        <is>
          <t>KRW</t>
        </is>
      </c>
      <c r="C51" s="14" t="n"/>
      <c r="D51" s="14">
        <f>E51*N51*O51</f>
        <v/>
      </c>
      <c r="E51" s="9">
        <f>SUM(F51:L51)</f>
        <v/>
      </c>
      <c r="F51" s="29" t="n"/>
      <c r="G51" s="9" t="n"/>
      <c r="H51" s="29" t="n"/>
      <c r="I51" s="29" t="n">
        <v>491875</v>
      </c>
      <c r="J51" s="29" t="n">
        <v>74590</v>
      </c>
      <c r="K51" s="29" t="n">
        <v>1488449</v>
      </c>
      <c r="L51" s="29" t="n"/>
      <c r="M51" s="29" t="n"/>
      <c r="N51" s="14" t="n">
        <v>1</v>
      </c>
      <c r="O51" s="51" t="n">
        <v>1</v>
      </c>
      <c r="R51" s="14" t="n"/>
      <c r="S51" s="14" t="n"/>
    </row>
    <row r="52">
      <c r="A52" s="9" t="inlineStr">
        <is>
          <t>Cash</t>
        </is>
      </c>
      <c r="B52" s="9" t="inlineStr">
        <is>
          <t>KODEX CD금리액티브(합성)</t>
        </is>
      </c>
      <c r="C52" s="14" t="n"/>
      <c r="D52" s="14">
        <f>E52*N52*O52</f>
        <v/>
      </c>
      <c r="E52" s="9">
        <f>SUM(F52:L52)</f>
        <v/>
      </c>
      <c r="F52" s="29" t="n"/>
      <c r="G52" s="9" t="n"/>
      <c r="H52" s="29" t="n"/>
      <c r="I52" s="29" t="n">
        <v>4</v>
      </c>
      <c r="J52" s="29" t="n"/>
      <c r="K52" s="29" t="n"/>
      <c r="L52" s="29" t="n"/>
      <c r="M52" s="29" t="n"/>
      <c r="N52" s="15">
        <f>Info!E3</f>
        <v/>
      </c>
      <c r="O52" s="51" t="n">
        <v>1</v>
      </c>
      <c r="Q52" s="9">
        <f>U52/N52/O52</f>
        <v/>
      </c>
      <c r="R52" s="52">
        <f>(100%-R$48-R$49)*S52</f>
        <v/>
      </c>
      <c r="S52" s="61" t="n">
        <v>0.3</v>
      </c>
      <c r="T52" s="53">
        <f>(D51+D52+D50)/($D$57)</f>
        <v/>
      </c>
      <c r="U52" s="14">
        <f>$D$57*(R52-T52)</f>
        <v/>
      </c>
    </row>
    <row r="53">
      <c r="A53" s="9" t="inlineStr">
        <is>
          <t>Gold</t>
        </is>
      </c>
      <c r="B53" s="9" t="inlineStr">
        <is>
          <t>KINDEX KRX금현물</t>
        </is>
      </c>
      <c r="C53" s="14" t="n"/>
      <c r="D53" s="14">
        <f>E53*N53*O53</f>
        <v/>
      </c>
      <c r="E53" s="9">
        <f>SUM(H53:L53)</f>
        <v/>
      </c>
      <c r="F53" s="29" t="n"/>
      <c r="G53" s="9" t="n"/>
      <c r="H53" s="29" t="n"/>
      <c r="I53" s="29" t="n">
        <v>642</v>
      </c>
      <c r="J53" s="29" t="n"/>
      <c r="K53" s="29" t="n"/>
      <c r="L53" s="29" t="n"/>
      <c r="M53" s="29" t="n"/>
      <c r="N53" s="9">
        <f>N13</f>
        <v/>
      </c>
      <c r="O53" s="51" t="n">
        <v>1</v>
      </c>
      <c r="Q53" s="9">
        <f>U53/N53/O53</f>
        <v/>
      </c>
      <c r="R53" s="52">
        <f>(100%-R$48-R$49)*S53</f>
        <v/>
      </c>
      <c r="S53" s="52" t="n">
        <v>0.1</v>
      </c>
      <c r="T53" s="53">
        <f>D53/$D$57</f>
        <v/>
      </c>
      <c r="U53" s="14">
        <f>$D$57*(R53-T53)</f>
        <v/>
      </c>
    </row>
    <row r="54">
      <c r="A54" s="9" t="inlineStr">
        <is>
          <t>Kor Stock</t>
        </is>
      </c>
      <c r="B54" s="9" t="inlineStr">
        <is>
          <t>TIGER KOSDAQ150</t>
        </is>
      </c>
      <c r="C54" s="14" t="n"/>
      <c r="D54" s="14">
        <f>E54*N54*O54</f>
        <v/>
      </c>
      <c r="E54" s="9">
        <f>SUM(F54:L54)</f>
        <v/>
      </c>
      <c r="F54" s="9" t="n"/>
      <c r="G54" s="9" t="n"/>
      <c r="H54" s="29" t="n"/>
      <c r="I54" s="29" t="n">
        <v>1030</v>
      </c>
      <c r="J54" s="29" t="n"/>
      <c r="K54" s="29" t="n"/>
      <c r="L54" s="29" t="n"/>
      <c r="M54" s="29" t="n"/>
      <c r="N54" s="9">
        <f>N27</f>
        <v/>
      </c>
      <c r="O54" s="51" t="n">
        <v>1</v>
      </c>
      <c r="Q54" s="9">
        <f>U54/N54/O54</f>
        <v/>
      </c>
      <c r="R54" s="52">
        <f>(100%-R$48-R$49)*S54</f>
        <v/>
      </c>
      <c r="S54" s="61" t="n">
        <v>0.1</v>
      </c>
      <c r="T54" s="53">
        <f>D54/($D$57)</f>
        <v/>
      </c>
      <c r="U54" s="14">
        <f>$D$57*(R54-T54)</f>
        <v/>
      </c>
    </row>
    <row r="55">
      <c r="A55" s="9" t="inlineStr">
        <is>
          <t>US Stock</t>
        </is>
      </c>
      <c r="B55" s="9" t="inlineStr">
        <is>
          <t>KODEX 미국나스닥100(TR)</t>
        </is>
      </c>
      <c r="C55" s="14" t="n"/>
      <c r="D55" s="14">
        <f>E55*N55*O55</f>
        <v/>
      </c>
      <c r="E55" s="9">
        <f>SUM(F55:L55)</f>
        <v/>
      </c>
      <c r="F55" s="9" t="n"/>
      <c r="G55" s="9" t="n"/>
      <c r="H55" s="29" t="n"/>
      <c r="I55" s="29" t="n">
        <v>903</v>
      </c>
      <c r="J55" s="29" t="n">
        <v>1713</v>
      </c>
      <c r="K55" s="29" t="n"/>
      <c r="L55" s="29" t="n"/>
      <c r="M55" s="29" t="n"/>
      <c r="N55" s="9">
        <f>N42</f>
        <v/>
      </c>
      <c r="O55" s="51" t="n">
        <v>1</v>
      </c>
      <c r="Q55" s="9">
        <f>U55/N55/O55</f>
        <v/>
      </c>
      <c r="R55" s="52">
        <f>(100%-R$48-R$49)*S55</f>
        <v/>
      </c>
      <c r="S55" s="61" t="n">
        <v>0.3</v>
      </c>
      <c r="T55" s="53">
        <f>D55/($D$57)</f>
        <v/>
      </c>
      <c r="U55" s="14">
        <f>$D$57*(R55-T55)</f>
        <v/>
      </c>
    </row>
    <row r="56">
      <c r="A56" s="9" t="inlineStr">
        <is>
          <t>US Bonds</t>
        </is>
      </c>
      <c r="B56" s="9" t="inlineStr">
        <is>
          <t>ACE 미국장기채액티브</t>
        </is>
      </c>
      <c r="C56" s="14" t="n"/>
      <c r="D56" s="14">
        <f>E56*N56*O56</f>
        <v/>
      </c>
      <c r="E56" s="9">
        <f>SUM(F56:L56)</f>
        <v/>
      </c>
      <c r="F56" s="9" t="n"/>
      <c r="G56" s="9" t="n"/>
      <c r="H56" s="29" t="n"/>
      <c r="I56" s="29" t="n">
        <v>2778</v>
      </c>
      <c r="J56" s="29" t="n">
        <v>1407</v>
      </c>
      <c r="K56" s="29" t="n"/>
      <c r="L56" s="29" t="n"/>
      <c r="M56" s="29" t="n"/>
      <c r="N56" s="9">
        <f>N17</f>
        <v/>
      </c>
      <c r="O56" s="51" t="n">
        <v>1</v>
      </c>
      <c r="Q56" s="9">
        <f>U56/N56/O56</f>
        <v/>
      </c>
      <c r="R56" s="52">
        <f>(100%-R$48-R$49)*S56</f>
        <v/>
      </c>
      <c r="S56" s="61" t="n">
        <v>0.2</v>
      </c>
      <c r="T56" s="53">
        <f>D56/($D$57)</f>
        <v/>
      </c>
      <c r="U56" s="14">
        <f>$D$57*(R56-T56)</f>
        <v/>
      </c>
    </row>
    <row r="57" customFormat="1" s="20">
      <c r="D57" s="20">
        <f>SUM(D48:D56)</f>
        <v/>
      </c>
      <c r="N57" s="9">
        <f>N39</f>
        <v/>
      </c>
      <c r="O57" s="55" t="n"/>
      <c r="P57" s="23" t="n"/>
      <c r="R57" s="56">
        <f>SUM(R48:R56)</f>
        <v/>
      </c>
      <c r="S57" s="53">
        <f>SUM(S48:S56)</f>
        <v/>
      </c>
      <c r="T57" s="53">
        <f>D57/($D$57)</f>
        <v/>
      </c>
    </row>
    <row r="58">
      <c r="C58" s="14" t="n"/>
    </row>
    <row r="59">
      <c r="C59" s="14" t="n"/>
    </row>
    <row r="60">
      <c r="C60" s="14" t="n"/>
    </row>
    <row r="61">
      <c r="C61" s="14" t="n"/>
    </row>
    <row r="62">
      <c r="C62" s="14" t="n"/>
    </row>
    <row r="63">
      <c r="C63" s="14" t="n"/>
    </row>
    <row r="64">
      <c r="C64" s="14" t="n"/>
    </row>
    <row r="65">
      <c r="C65" s="14" t="n"/>
    </row>
  </sheetData>
  <conditionalFormatting sqref="T11">
    <cfRule type="expression" priority="8" dxfId="0">
      <formula>T11 &lt;= R11*(1-$T$6)</formula>
    </cfRule>
    <cfRule type="expression" priority="9" dxfId="0">
      <formula>T11 &gt;= R11*(1+$T$6)</formula>
    </cfRule>
  </conditionalFormatting>
  <conditionalFormatting sqref="T13:T17">
    <cfRule type="expression" priority="7" dxfId="0">
      <formula>T13 &gt;= R13*(1+$T$6)</formula>
    </cfRule>
  </conditionalFormatting>
  <conditionalFormatting sqref="T22 T24:T27 T29:T32">
    <cfRule type="expression" priority="5" dxfId="0">
      <formula>T22 &lt;= R22*(1-$T$6)</formula>
    </cfRule>
    <cfRule type="expression" priority="6" dxfId="0">
      <formula>T22 &gt;= R22*(1+$T$6)</formula>
    </cfRule>
  </conditionalFormatting>
  <conditionalFormatting sqref="T36:T37 T40:T42 T44">
    <cfRule type="expression" priority="3" dxfId="0">
      <formula>T36 &lt;= R36*(1-$T$6)</formula>
    </cfRule>
    <cfRule type="expression" priority="4" dxfId="0">
      <formula>T36 &gt;= R36*(1+$T$6)</formula>
    </cfRule>
  </conditionalFormatting>
  <conditionalFormatting sqref="T52:T56">
    <cfRule type="expression" priority="1" dxfId="0">
      <formula>T52 &lt;= R52*(1-$T$6)</formula>
    </cfRule>
    <cfRule type="expression" priority="2" dxfId="0">
      <formula>T52 &gt;= R52*(1+$T$6)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G9"/>
  <sheetViews>
    <sheetView workbookViewId="0">
      <selection activeCell="A9" sqref="A9"/>
    </sheetView>
  </sheetViews>
  <sheetFormatPr baseColWidth="10" defaultRowHeight="17"/>
  <cols>
    <col width="10.83203125" customWidth="1" style="44" min="1" max="1"/>
    <col width="20" bestFit="1" customWidth="1" style="44" min="2" max="2"/>
    <col width="20" customWidth="1" style="44" min="3" max="3"/>
    <col width="18" bestFit="1" customWidth="1" style="44" min="4" max="4"/>
    <col width="16.6640625" bestFit="1" customWidth="1" style="44" min="5" max="7"/>
    <col width="10.83203125" customWidth="1" style="44" min="8" max="8"/>
    <col width="10.83203125" customWidth="1" style="44" min="9" max="16384"/>
  </cols>
  <sheetData>
    <row r="3">
      <c r="E3" s="44" t="inlineStr">
        <is>
          <t>D&amp;B</t>
        </is>
      </c>
    </row>
    <row r="4">
      <c r="B4" s="44" t="inlineStr">
        <is>
          <t>Borrowings</t>
        </is>
      </c>
      <c r="E4" s="44" t="inlineStr">
        <is>
          <t>Jintae</t>
        </is>
      </c>
      <c r="F4" s="44" t="inlineStr">
        <is>
          <t>Hyunhee</t>
        </is>
      </c>
      <c r="G4" s="44" t="inlineStr">
        <is>
          <t>Susie</t>
        </is>
      </c>
    </row>
    <row r="5" ht="18" customHeight="1">
      <c r="C5" s="65" t="n">
        <v>0.006</v>
      </c>
      <c r="D5" s="53">
        <f>4.6%-C5</f>
        <v/>
      </c>
      <c r="E5" s="53" t="n">
        <v>0.1</v>
      </c>
      <c r="F5" s="53" t="n">
        <v>0.4</v>
      </c>
      <c r="G5" s="53" t="n">
        <v>0.5</v>
      </c>
    </row>
    <row r="6" ht="18" customHeight="1">
      <c r="A6" s="44" t="inlineStr">
        <is>
          <t>Jintae</t>
        </is>
      </c>
      <c r="B6" s="66">
        <f>400000000+900000000+400000000</f>
        <v/>
      </c>
      <c r="C6" s="67">
        <f>B6*$C$5</f>
        <v/>
      </c>
      <c r="D6" s="67">
        <f>B6*$D$5</f>
        <v/>
      </c>
      <c r="E6" s="67" t="n"/>
      <c r="F6" s="67">
        <f>$D6*F$5</f>
        <v/>
      </c>
      <c r="G6" s="67">
        <f>$D6*G$5</f>
        <v/>
      </c>
    </row>
    <row r="7" ht="18" customHeight="1">
      <c r="A7" s="44" t="inlineStr">
        <is>
          <t>Hyunhee</t>
        </is>
      </c>
      <c r="B7" s="66">
        <f>1600000000+900000000+200000000</f>
        <v/>
      </c>
      <c r="C7" s="67">
        <f>B7*$C$5</f>
        <v/>
      </c>
      <c r="D7" s="67">
        <f>B7*$D$5</f>
        <v/>
      </c>
      <c r="E7" s="67">
        <f>$D7*E$5</f>
        <v/>
      </c>
      <c r="F7" s="67" t="n"/>
      <c r="G7" s="67">
        <f>$D7*G$5</f>
        <v/>
      </c>
    </row>
    <row r="8" ht="18" customHeight="1">
      <c r="A8" s="44" t="inlineStr">
        <is>
          <t>Susie</t>
        </is>
      </c>
      <c r="B8" s="66">
        <f>100000000+100000000+400000000</f>
        <v/>
      </c>
      <c r="C8" s="67">
        <f>B8*$C$5</f>
        <v/>
      </c>
      <c r="D8" s="67">
        <f>B8*$D$5</f>
        <v/>
      </c>
      <c r="E8" s="67">
        <f>$D8*E$5</f>
        <v/>
      </c>
      <c r="F8" s="67">
        <f>$D8*F$5</f>
        <v/>
      </c>
      <c r="G8" s="67" t="n"/>
    </row>
    <row r="9">
      <c r="A9" s="44" t="inlineStr">
        <is>
          <t>Total</t>
        </is>
      </c>
      <c r="B9" s="67">
        <f>B6+B7+B8</f>
        <v/>
      </c>
      <c r="C9" s="67">
        <f>C6+C7+C8</f>
        <v/>
      </c>
      <c r="D9" s="67">
        <f>D6+D7+D8</f>
        <v/>
      </c>
      <c r="E9" s="67">
        <f>E6+E7+E8</f>
        <v/>
      </c>
      <c r="F9" s="67">
        <f>F6+F7+F8</f>
        <v/>
      </c>
      <c r="G9" s="67">
        <f>G6+G7+G8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2026-03-17T04:16:58Z</dcterms:created>
  <dcterms:modified xsi:type="dcterms:W3CDTF">2026-04-29T07:10:39Z</dcterms:modified>
  <cp:lastModifiedBy>김진태 (Jintae Kim)</cp:lastModifiedBy>
</cp:coreProperties>
</file>